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cea57e8fb952ab/Desktop/Databases and Data management/project/"/>
    </mc:Choice>
  </mc:AlternateContent>
  <xr:revisionPtr revIDLastSave="0" documentId="8_{FC338A31-D8FC-4281-8AA5-13D1FF1E6EBD}" xr6:coauthVersionLast="47" xr6:coauthVersionMax="47" xr10:uidLastSave="{00000000-0000-0000-0000-000000000000}"/>
  <bookViews>
    <workbookView xWindow="-108" yWindow="-108" windowWidth="23256" windowHeight="12456" xr2:uid="{67FA5E35-1735-4CFA-A0BA-949DA40C506E}"/>
  </bookViews>
  <sheets>
    <sheet name="Foaie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8" i="1" l="1"/>
  <c r="X78" i="1"/>
  <c r="W78" i="1"/>
  <c r="V78" i="1"/>
  <c r="U78" i="1"/>
  <c r="T78" i="1"/>
  <c r="S78" i="1"/>
  <c r="Y77" i="1"/>
  <c r="X77" i="1"/>
  <c r="W77" i="1"/>
  <c r="V77" i="1"/>
  <c r="U77" i="1"/>
  <c r="T77" i="1"/>
  <c r="S77" i="1"/>
  <c r="Y76" i="1"/>
  <c r="X76" i="1"/>
  <c r="W76" i="1"/>
  <c r="V76" i="1"/>
  <c r="U76" i="1"/>
  <c r="T76" i="1"/>
  <c r="S76" i="1"/>
  <c r="Y75" i="1"/>
  <c r="X75" i="1"/>
  <c r="W75" i="1"/>
  <c r="V75" i="1"/>
  <c r="U75" i="1"/>
  <c r="T75" i="1"/>
  <c r="S75" i="1"/>
  <c r="Y74" i="1"/>
  <c r="X74" i="1"/>
  <c r="W74" i="1"/>
  <c r="V74" i="1"/>
  <c r="U74" i="1"/>
  <c r="T74" i="1"/>
  <c r="S74" i="1"/>
  <c r="Y73" i="1"/>
  <c r="X73" i="1"/>
  <c r="W73" i="1"/>
  <c r="V73" i="1"/>
  <c r="U73" i="1"/>
  <c r="T73" i="1"/>
  <c r="S73" i="1"/>
  <c r="Y72" i="1"/>
  <c r="X72" i="1"/>
  <c r="W72" i="1"/>
  <c r="V72" i="1"/>
  <c r="U72" i="1"/>
  <c r="T72" i="1"/>
  <c r="S72" i="1"/>
  <c r="Y71" i="1"/>
  <c r="X71" i="1"/>
  <c r="W71" i="1"/>
  <c r="V71" i="1"/>
  <c r="U71" i="1"/>
  <c r="T71" i="1"/>
  <c r="S71" i="1"/>
  <c r="Y70" i="1"/>
  <c r="X70" i="1"/>
  <c r="W70" i="1"/>
  <c r="V70" i="1"/>
  <c r="U70" i="1"/>
  <c r="T70" i="1"/>
  <c r="S70" i="1"/>
  <c r="Y69" i="1"/>
  <c r="X69" i="1"/>
  <c r="W69" i="1"/>
  <c r="V69" i="1"/>
  <c r="U69" i="1"/>
  <c r="T69" i="1"/>
  <c r="S69" i="1"/>
  <c r="Y68" i="1"/>
  <c r="X68" i="1"/>
  <c r="W68" i="1"/>
  <c r="V68" i="1"/>
  <c r="U68" i="1"/>
  <c r="T68" i="1"/>
  <c r="S68" i="1"/>
  <c r="Y67" i="1"/>
  <c r="X67" i="1"/>
  <c r="W67" i="1"/>
  <c r="V67" i="1"/>
  <c r="U67" i="1"/>
  <c r="T67" i="1"/>
  <c r="S67" i="1"/>
  <c r="Y66" i="1"/>
  <c r="X66" i="1"/>
  <c r="W66" i="1"/>
  <c r="V66" i="1"/>
  <c r="U66" i="1"/>
  <c r="T66" i="1"/>
  <c r="S66" i="1"/>
  <c r="Y65" i="1"/>
  <c r="X65" i="1"/>
  <c r="W65" i="1"/>
  <c r="V65" i="1"/>
  <c r="U65" i="1"/>
  <c r="T65" i="1"/>
  <c r="S65" i="1"/>
  <c r="Y64" i="1"/>
  <c r="X64" i="1"/>
  <c r="W64" i="1"/>
  <c r="V64" i="1"/>
  <c r="U64" i="1"/>
  <c r="T64" i="1"/>
  <c r="S64" i="1"/>
  <c r="Y63" i="1"/>
  <c r="X63" i="1"/>
  <c r="W63" i="1"/>
  <c r="V63" i="1"/>
  <c r="U63" i="1"/>
  <c r="T63" i="1"/>
  <c r="S63" i="1"/>
  <c r="Y62" i="1"/>
  <c r="X62" i="1"/>
  <c r="W62" i="1"/>
  <c r="V62" i="1"/>
  <c r="U62" i="1"/>
  <c r="T62" i="1"/>
  <c r="S62" i="1"/>
  <c r="Y61" i="1"/>
  <c r="X61" i="1"/>
  <c r="W61" i="1"/>
  <c r="V61" i="1"/>
  <c r="U61" i="1"/>
  <c r="T61" i="1"/>
  <c r="S61" i="1"/>
  <c r="Y60" i="1"/>
  <c r="X60" i="1"/>
  <c r="W60" i="1"/>
  <c r="V60" i="1"/>
  <c r="U60" i="1"/>
  <c r="T60" i="1"/>
  <c r="S60" i="1"/>
  <c r="Y59" i="1"/>
  <c r="X59" i="1"/>
  <c r="W59" i="1"/>
  <c r="V59" i="1"/>
  <c r="U59" i="1"/>
  <c r="T59" i="1"/>
  <c r="S59" i="1"/>
  <c r="Y58" i="1"/>
  <c r="X58" i="1"/>
  <c r="W58" i="1"/>
  <c r="V58" i="1"/>
  <c r="U58" i="1"/>
  <c r="T58" i="1"/>
  <c r="S58" i="1"/>
  <c r="Y57" i="1"/>
  <c r="X57" i="1"/>
  <c r="W57" i="1"/>
  <c r="V57" i="1"/>
  <c r="U57" i="1"/>
  <c r="T57" i="1"/>
  <c r="S57" i="1"/>
  <c r="Y56" i="1"/>
  <c r="X56" i="1"/>
  <c r="W56" i="1"/>
  <c r="V56" i="1"/>
  <c r="U56" i="1"/>
  <c r="T56" i="1"/>
  <c r="S56" i="1"/>
  <c r="Y55" i="1"/>
  <c r="X55" i="1"/>
  <c r="W55" i="1"/>
  <c r="V55" i="1"/>
  <c r="U55" i="1"/>
  <c r="T55" i="1"/>
  <c r="S55" i="1"/>
  <c r="Y54" i="1"/>
  <c r="X54" i="1"/>
  <c r="W54" i="1"/>
  <c r="V54" i="1"/>
  <c r="U54" i="1"/>
  <c r="T54" i="1"/>
  <c r="S54" i="1"/>
  <c r="Y53" i="1"/>
  <c r="X53" i="1"/>
  <c r="W53" i="1"/>
  <c r="V53" i="1"/>
  <c r="U53" i="1"/>
  <c r="T53" i="1"/>
  <c r="S53" i="1"/>
  <c r="Y52" i="1"/>
  <c r="X52" i="1"/>
  <c r="W52" i="1"/>
  <c r="V52" i="1"/>
  <c r="U52" i="1"/>
  <c r="T52" i="1"/>
  <c r="S52" i="1"/>
  <c r="Y51" i="1"/>
  <c r="X51" i="1"/>
  <c r="W51" i="1"/>
  <c r="V51" i="1"/>
  <c r="Y50" i="1"/>
  <c r="X50" i="1"/>
  <c r="W50" i="1"/>
  <c r="V50" i="1"/>
  <c r="U50" i="1"/>
  <c r="T50" i="1"/>
  <c r="S50" i="1"/>
  <c r="Y49" i="1"/>
  <c r="X49" i="1"/>
  <c r="W49" i="1"/>
  <c r="V49" i="1"/>
  <c r="U49" i="1"/>
  <c r="T49" i="1"/>
  <c r="S49" i="1"/>
  <c r="Y48" i="1"/>
  <c r="X48" i="1"/>
  <c r="W48" i="1"/>
  <c r="V48" i="1"/>
  <c r="U48" i="1"/>
  <c r="T48" i="1"/>
  <c r="S48" i="1"/>
  <c r="Y47" i="1"/>
  <c r="X47" i="1"/>
  <c r="W47" i="1"/>
  <c r="V47" i="1"/>
  <c r="U47" i="1"/>
  <c r="T47" i="1"/>
  <c r="S47" i="1"/>
  <c r="W46" i="1"/>
  <c r="V46" i="1"/>
  <c r="U46" i="1"/>
  <c r="T46" i="1"/>
  <c r="S46" i="1"/>
  <c r="Y45" i="1"/>
  <c r="X45" i="1"/>
  <c r="W45" i="1"/>
  <c r="V45" i="1"/>
  <c r="U45" i="1"/>
  <c r="T45" i="1"/>
  <c r="S45" i="1"/>
  <c r="Y44" i="1"/>
  <c r="X44" i="1"/>
  <c r="W44" i="1"/>
  <c r="V44" i="1"/>
  <c r="U44" i="1"/>
  <c r="T44" i="1"/>
  <c r="S44" i="1"/>
  <c r="Y43" i="1"/>
  <c r="X43" i="1"/>
  <c r="W43" i="1"/>
  <c r="V43" i="1"/>
  <c r="U43" i="1"/>
  <c r="T43" i="1"/>
  <c r="S43" i="1"/>
  <c r="Y42" i="1"/>
  <c r="X42" i="1"/>
  <c r="W42" i="1"/>
  <c r="V42" i="1"/>
  <c r="U42" i="1"/>
  <c r="T42" i="1"/>
  <c r="S42" i="1"/>
  <c r="Y41" i="1"/>
  <c r="X41" i="1"/>
  <c r="W41" i="1"/>
  <c r="V41" i="1"/>
  <c r="U41" i="1"/>
  <c r="T41" i="1"/>
  <c r="S41" i="1"/>
  <c r="Y40" i="1"/>
  <c r="X40" i="1"/>
  <c r="W40" i="1"/>
  <c r="V40" i="1"/>
  <c r="U40" i="1"/>
  <c r="T40" i="1"/>
  <c r="S40" i="1"/>
  <c r="Y39" i="1"/>
  <c r="X39" i="1"/>
  <c r="W39" i="1"/>
  <c r="V39" i="1"/>
  <c r="U39" i="1"/>
  <c r="T39" i="1"/>
  <c r="S39" i="1"/>
  <c r="Y38" i="1"/>
  <c r="X38" i="1"/>
  <c r="W38" i="1"/>
  <c r="V38" i="1"/>
  <c r="U38" i="1"/>
  <c r="T38" i="1"/>
  <c r="S38" i="1"/>
  <c r="Y37" i="1"/>
  <c r="X37" i="1"/>
  <c r="W37" i="1"/>
  <c r="V37" i="1"/>
  <c r="U37" i="1"/>
  <c r="T37" i="1"/>
  <c r="S37" i="1"/>
  <c r="Y36" i="1"/>
  <c r="X36" i="1"/>
  <c r="W36" i="1"/>
  <c r="V36" i="1"/>
  <c r="U36" i="1"/>
  <c r="T36" i="1"/>
  <c r="S36" i="1"/>
  <c r="Y35" i="1"/>
  <c r="X35" i="1"/>
  <c r="W35" i="1"/>
  <c r="V35" i="1"/>
  <c r="U35" i="1"/>
  <c r="T35" i="1"/>
  <c r="S35" i="1"/>
  <c r="Y34" i="1"/>
  <c r="X34" i="1"/>
  <c r="W34" i="1"/>
  <c r="V34" i="1"/>
  <c r="U34" i="1"/>
  <c r="T34" i="1"/>
  <c r="S34" i="1"/>
  <c r="Y33" i="1"/>
  <c r="X33" i="1"/>
  <c r="W33" i="1"/>
  <c r="V33" i="1"/>
  <c r="U33" i="1"/>
  <c r="T33" i="1"/>
  <c r="S33" i="1"/>
  <c r="Y32" i="1"/>
  <c r="X32" i="1"/>
  <c r="W32" i="1"/>
  <c r="V32" i="1"/>
  <c r="U32" i="1"/>
  <c r="T32" i="1"/>
  <c r="S32" i="1"/>
  <c r="Y31" i="1"/>
  <c r="X31" i="1"/>
  <c r="W31" i="1"/>
  <c r="V31" i="1"/>
  <c r="U31" i="1"/>
  <c r="T31" i="1"/>
  <c r="S31" i="1"/>
  <c r="Y30" i="1"/>
  <c r="X30" i="1"/>
  <c r="W30" i="1"/>
  <c r="V30" i="1"/>
  <c r="U30" i="1"/>
  <c r="T30" i="1"/>
  <c r="S30" i="1"/>
  <c r="Y29" i="1"/>
  <c r="X29" i="1"/>
  <c r="W29" i="1"/>
  <c r="V29" i="1"/>
  <c r="U29" i="1"/>
  <c r="T29" i="1"/>
  <c r="S29" i="1"/>
  <c r="Y28" i="1"/>
  <c r="X28" i="1"/>
  <c r="W28" i="1"/>
  <c r="V28" i="1"/>
  <c r="U28" i="1"/>
  <c r="T28" i="1"/>
  <c r="S28" i="1"/>
  <c r="Y27" i="1"/>
  <c r="X27" i="1"/>
  <c r="W27" i="1"/>
  <c r="V27" i="1"/>
  <c r="U27" i="1"/>
  <c r="T27" i="1"/>
  <c r="S27" i="1"/>
  <c r="Y26" i="1"/>
  <c r="X26" i="1"/>
  <c r="W26" i="1"/>
  <c r="V26" i="1"/>
  <c r="U26" i="1"/>
  <c r="T26" i="1"/>
  <c r="S26" i="1"/>
  <c r="Y25" i="1"/>
  <c r="X25" i="1"/>
  <c r="W25" i="1"/>
  <c r="V25" i="1"/>
  <c r="U25" i="1"/>
  <c r="T25" i="1"/>
  <c r="S25" i="1"/>
  <c r="Y24" i="1"/>
  <c r="X24" i="1"/>
  <c r="W24" i="1"/>
  <c r="V24" i="1"/>
  <c r="U24" i="1"/>
  <c r="T24" i="1"/>
  <c r="S24" i="1"/>
  <c r="Y23" i="1"/>
  <c r="X23" i="1"/>
  <c r="W23" i="1"/>
  <c r="V23" i="1"/>
  <c r="U23" i="1"/>
  <c r="T23" i="1"/>
  <c r="S23" i="1"/>
  <c r="Y22" i="1"/>
  <c r="X22" i="1"/>
  <c r="W22" i="1"/>
  <c r="V22" i="1"/>
  <c r="U22" i="1"/>
  <c r="T22" i="1"/>
  <c r="S22" i="1"/>
  <c r="Y21" i="1"/>
  <c r="X21" i="1"/>
  <c r="W21" i="1"/>
  <c r="V21" i="1"/>
  <c r="U21" i="1"/>
  <c r="T21" i="1"/>
  <c r="S21" i="1"/>
  <c r="Y20" i="1"/>
  <c r="X20" i="1"/>
  <c r="W20" i="1"/>
  <c r="V20" i="1"/>
  <c r="U20" i="1"/>
  <c r="T20" i="1"/>
  <c r="S20" i="1"/>
  <c r="Y19" i="1"/>
  <c r="X19" i="1"/>
  <c r="W19" i="1"/>
  <c r="V19" i="1"/>
  <c r="U19" i="1"/>
  <c r="T19" i="1"/>
  <c r="S19" i="1"/>
  <c r="Y18" i="1"/>
  <c r="X18" i="1"/>
  <c r="W18" i="1"/>
  <c r="V18" i="1"/>
  <c r="U18" i="1"/>
  <c r="T18" i="1"/>
  <c r="S18" i="1"/>
  <c r="Y17" i="1"/>
  <c r="X17" i="1"/>
  <c r="W17" i="1"/>
  <c r="V17" i="1"/>
  <c r="U17" i="1"/>
  <c r="T17" i="1"/>
  <c r="S17" i="1"/>
  <c r="Y16" i="1"/>
  <c r="X16" i="1"/>
  <c r="W16" i="1"/>
  <c r="V16" i="1"/>
  <c r="U16" i="1"/>
  <c r="T16" i="1"/>
  <c r="S16" i="1"/>
  <c r="W15" i="1"/>
  <c r="V15" i="1"/>
  <c r="U15" i="1"/>
  <c r="T15" i="1"/>
  <c r="S15" i="1"/>
  <c r="Y14" i="1"/>
  <c r="X14" i="1"/>
  <c r="W14" i="1"/>
  <c r="V14" i="1"/>
  <c r="U14" i="1"/>
  <c r="T14" i="1"/>
  <c r="S14" i="1"/>
  <c r="Y13" i="1"/>
  <c r="X13" i="1"/>
  <c r="W13" i="1"/>
  <c r="V13" i="1"/>
  <c r="U13" i="1"/>
  <c r="T13" i="1"/>
  <c r="S13" i="1"/>
  <c r="Y12" i="1"/>
  <c r="X12" i="1"/>
  <c r="W12" i="1"/>
  <c r="V12" i="1"/>
  <c r="U12" i="1"/>
  <c r="T12" i="1"/>
  <c r="S12" i="1"/>
  <c r="Y11" i="1"/>
  <c r="X11" i="1"/>
  <c r="W11" i="1"/>
  <c r="V11" i="1"/>
  <c r="U11" i="1"/>
  <c r="T11" i="1"/>
  <c r="S11" i="1"/>
  <c r="Y10" i="1"/>
  <c r="X10" i="1"/>
  <c r="W10" i="1"/>
  <c r="V10" i="1"/>
  <c r="U10" i="1"/>
  <c r="T10" i="1"/>
  <c r="S10" i="1"/>
  <c r="Y9" i="1"/>
  <c r="X9" i="1"/>
  <c r="W9" i="1"/>
  <c r="V9" i="1"/>
  <c r="U9" i="1"/>
  <c r="T9" i="1"/>
  <c r="S9" i="1"/>
  <c r="Y8" i="1"/>
  <c r="X8" i="1"/>
  <c r="W8" i="1"/>
  <c r="V8" i="1"/>
  <c r="U8" i="1"/>
  <c r="T8" i="1"/>
  <c r="S8" i="1"/>
  <c r="Y7" i="1"/>
  <c r="X7" i="1"/>
  <c r="W7" i="1"/>
  <c r="V7" i="1"/>
  <c r="U7" i="1"/>
  <c r="T7" i="1"/>
  <c r="S7" i="1"/>
  <c r="Y6" i="1"/>
  <c r="X6" i="1"/>
  <c r="W6" i="1"/>
  <c r="V6" i="1"/>
  <c r="U6" i="1"/>
  <c r="T6" i="1"/>
  <c r="S6" i="1"/>
  <c r="Y5" i="1"/>
  <c r="X5" i="1"/>
  <c r="W5" i="1"/>
  <c r="V5" i="1"/>
  <c r="U5" i="1"/>
  <c r="T5" i="1"/>
  <c r="S5" i="1"/>
  <c r="Y4" i="1"/>
  <c r="X4" i="1"/>
  <c r="W4" i="1"/>
  <c r="V4" i="1"/>
  <c r="U4" i="1"/>
  <c r="T4" i="1"/>
  <c r="S4" i="1"/>
  <c r="Y3" i="1"/>
  <c r="X3" i="1"/>
  <c r="W3" i="1"/>
  <c r="V3" i="1"/>
  <c r="U3" i="1"/>
  <c r="T3" i="1"/>
  <c r="S3" i="1"/>
</calcChain>
</file>

<file path=xl/sharedStrings.xml><?xml version="1.0" encoding="utf-8"?>
<sst xmlns="http://schemas.openxmlformats.org/spreadsheetml/2006/main" count="83" uniqueCount="83">
  <si>
    <t>Cases under an article 105</t>
  </si>
  <si>
    <t>Mean population</t>
  </si>
  <si>
    <t>Murders/ 1000 people ratio</t>
  </si>
  <si>
    <t>Ginny index</t>
  </si>
  <si>
    <t>Unempl.</t>
  </si>
  <si>
    <t>Solved cases/ registered murders</t>
  </si>
  <si>
    <t>Regions</t>
  </si>
  <si>
    <t>Алтайский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</si>
  <si>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</si>
  <si>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</si>
  <si>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</si>
  <si>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</si>
  <si>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</si>
  <si>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</si>
  <si>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</si>
  <si>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</si>
  <si>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</si>
  <si>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город Москва</t>
  </si>
  <si>
    <t>город Санкт-Петербург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</si>
  <si>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</si>
  <si>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</si>
  <si>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</si>
  <si>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</si>
  <si>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</si>
  <si>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</si>
  <si>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</si>
  <si>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</si>
  <si>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</si>
  <si>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</si>
  <si>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</si>
  <si>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</si>
  <si>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</si>
  <si>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</si>
  <si>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</si>
  <si>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</si>
  <si>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</si>
  <si>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</si>
  <si>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</si>
  <si>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</si>
  <si>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</si>
  <si>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</si>
  <si>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</si>
  <si>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</si>
  <si>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</si>
  <si>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</si>
  <si>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</si>
  <si>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</si>
  <si>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</si>
  <si>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</si>
  <si>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</si>
  <si>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</si>
  <si>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</si>
  <si>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</si>
  <si>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</si>
  <si>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</si>
  <si>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</si>
  <si>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</si>
  <si>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</si>
  <si>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</si>
  <si>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</si>
  <si>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</si>
  <si>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</si>
  <si>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</si>
  <si>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</si>
  <si>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</si>
  <si>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</si>
  <si>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</si>
  <si>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</si>
  <si>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</si>
  <si>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</si>
  <si>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</si>
  <si>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</si>
  <si>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</si>
  <si>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</si>
  <si>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</si>
  <si>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Удмуртская Республика</t>
  </si>
  <si>
    <t>Ульяновская область</t>
  </si>
  <si>
    <t>Хабаровский край</t>
  </si>
  <si>
    <t>Ханты-Мансийский автономный округ - Югра (Тюменская область)</t>
  </si>
  <si>
    <t>Челябинская область</t>
  </si>
  <si>
    <t>Чувашская Республика - Чувашия</t>
  </si>
  <si>
    <t>Ямало-Ненецкий автономный округ</t>
  </si>
  <si>
    <t>Ярославская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</si>
</sst>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"/>
  </numFmts>
  <fonts count="4" x14ac:knownFonts="1">
    <font>
      <sz val="11"/>
      <color theme="1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2"/>
      <name val="Calibri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3"/>
        <bgColor auto="1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8"/>
      </bottom>
      <diagonal/>
    </border>
    <border>
      <left style="thin">
        <color indexed="12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2"/>
      </left>
      <right style="thin">
        <color indexed="14"/>
      </right>
      <top style="thin">
        <color indexed="8"/>
      </top>
      <bottom style="thin">
        <color indexed="12"/>
      </bottom>
      <diagonal/>
    </border>
    <border>
      <left style="thin">
        <color indexed="14"/>
      </left>
      <right style="thin">
        <color indexed="14"/>
      </right>
      <top style="thin">
        <color indexed="8"/>
      </top>
      <bottom style="thin">
        <color indexed="12"/>
      </bottom>
      <diagonal/>
    </border>
    <border>
      <left style="thin">
        <color indexed="14"/>
      </left>
      <right style="thin">
        <color indexed="12"/>
      </right>
      <top style="thin">
        <color indexed="8"/>
      </top>
      <bottom style="thin">
        <color indexed="12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4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4"/>
      </bottom>
      <diagonal/>
    </border>
    <border>
      <left style="thin">
        <color indexed="12"/>
      </left>
      <right style="thin">
        <color indexed="14"/>
      </right>
      <top style="thin">
        <color indexed="12"/>
      </top>
      <bottom style="thin">
        <color indexed="12"/>
      </bottom>
      <diagonal/>
    </border>
    <border>
      <left style="thin">
        <color indexed="14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4"/>
      </left>
      <right style="thin">
        <color indexed="14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4"/>
      </right>
      <top style="thin">
        <color indexed="12"/>
      </top>
      <bottom style="thin">
        <color indexed="14"/>
      </bottom>
      <diagonal/>
    </border>
    <border>
      <left style="thin">
        <color indexed="14"/>
      </left>
      <right style="thin">
        <color indexed="12"/>
      </right>
      <top style="thin">
        <color indexed="14"/>
      </top>
      <bottom style="thin">
        <color indexed="12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1" xfId="0" applyFont="1" applyBorder="1"/>
    <xf numFmtId="49" fontId="2" fillId="0" borderId="2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49" fontId="2" fillId="0" borderId="1" xfId="0" applyNumberFormat="1" applyFont="1" applyBorder="1"/>
    <xf numFmtId="0" fontId="1" fillId="0" borderId="5" xfId="0" applyFont="1" applyBorder="1"/>
    <xf numFmtId="1" fontId="1" fillId="2" borderId="1" xfId="0" applyNumberFormat="1" applyFont="1" applyFill="1" applyBorder="1"/>
    <xf numFmtId="49" fontId="1" fillId="0" borderId="6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64" fontId="3" fillId="2" borderId="6" xfId="0" applyNumberFormat="1" applyFont="1" applyFill="1" applyBorder="1" applyAlignment="1">
      <alignment horizontal="right" vertical="top"/>
    </xf>
    <xf numFmtId="164" fontId="1" fillId="2" borderId="6" xfId="0" applyNumberFormat="1" applyFont="1" applyFill="1" applyBorder="1" applyAlignment="1">
      <alignment horizontal="right" vertical="top"/>
    </xf>
    <xf numFmtId="164" fontId="1" fillId="2" borderId="7" xfId="0" applyNumberFormat="1" applyFont="1" applyFill="1" applyBorder="1" applyAlignment="1">
      <alignment horizontal="right" vertical="top"/>
    </xf>
    <xf numFmtId="164" fontId="1" fillId="2" borderId="10" xfId="0" applyNumberFormat="1" applyFont="1" applyFill="1" applyBorder="1" applyAlignment="1">
      <alignment horizontal="right" vertical="top"/>
    </xf>
    <xf numFmtId="164" fontId="1" fillId="2" borderId="8" xfId="0" applyNumberFormat="1" applyFont="1" applyFill="1" applyBorder="1" applyAlignment="1">
      <alignment horizontal="right" vertical="top"/>
    </xf>
    <xf numFmtId="3" fontId="1" fillId="2" borderId="10" xfId="0" applyNumberFormat="1" applyFont="1" applyFill="1" applyBorder="1" applyAlignment="1">
      <alignment horizontal="right" vertical="top"/>
    </xf>
    <xf numFmtId="164" fontId="1" fillId="2" borderId="9" xfId="0" applyNumberFormat="1" applyFont="1" applyFill="1" applyBorder="1" applyAlignment="1">
      <alignment horizontal="right" vertical="top"/>
    </xf>
    <xf numFmtId="2" fontId="1" fillId="2" borderId="6" xfId="0" applyNumberFormat="1" applyFont="1" applyFill="1" applyBorder="1"/>
    <xf numFmtId="49" fontId="1" fillId="0" borderId="11" xfId="0" applyNumberFormat="1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1" xfId="0" applyFont="1" applyBorder="1"/>
    <xf numFmtId="164" fontId="3" fillId="2" borderId="11" xfId="0" applyNumberFormat="1" applyFont="1" applyFill="1" applyBorder="1" applyAlignment="1">
      <alignment horizontal="right" vertical="top"/>
    </xf>
    <xf numFmtId="164" fontId="1" fillId="2" borderId="11" xfId="0" applyNumberFormat="1" applyFont="1" applyFill="1" applyBorder="1" applyAlignment="1">
      <alignment horizontal="right" vertical="top"/>
    </xf>
    <xf numFmtId="164" fontId="1" fillId="2" borderId="12" xfId="0" applyNumberFormat="1" applyFont="1" applyFill="1" applyBorder="1" applyAlignment="1">
      <alignment horizontal="right" vertical="top"/>
    </xf>
    <xf numFmtId="2" fontId="1" fillId="2" borderId="11" xfId="0" applyNumberFormat="1" applyFont="1" applyFill="1" applyBorder="1"/>
    <xf numFmtId="3" fontId="1" fillId="2" borderId="11" xfId="0" applyNumberFormat="1" applyFont="1" applyFill="1" applyBorder="1" applyAlignment="1">
      <alignment horizontal="right" vertical="top"/>
    </xf>
    <xf numFmtId="164" fontId="1" fillId="2" borderId="13" xfId="0" applyNumberFormat="1" applyFont="1" applyFill="1" applyBorder="1" applyAlignment="1">
      <alignment horizontal="right" vertical="top"/>
    </xf>
    <xf numFmtId="164" fontId="1" fillId="2" borderId="14" xfId="0" applyNumberFormat="1" applyFont="1" applyFill="1" applyBorder="1" applyAlignment="1">
      <alignment horizontal="right" vertical="top"/>
    </xf>
    <xf numFmtId="164" fontId="1" fillId="2" borderId="15" xfId="0" applyNumberFormat="1" applyFont="1" applyFill="1" applyBorder="1" applyAlignment="1">
      <alignment horizontal="right" vertical="top"/>
    </xf>
    <xf numFmtId="0" fontId="1" fillId="2" borderId="11" xfId="0" applyFont="1" applyFill="1" applyBorder="1"/>
    <xf numFmtId="3" fontId="1" fillId="2" borderId="13" xfId="0" applyNumberFormat="1" applyFont="1" applyFill="1" applyBorder="1" applyAlignment="1">
      <alignment horizontal="right" vertical="top"/>
    </xf>
    <xf numFmtId="3" fontId="1" fillId="2" borderId="14" xfId="0" applyNumberFormat="1" applyFont="1" applyFill="1" applyBorder="1" applyAlignment="1">
      <alignment horizontal="right" vertical="top"/>
    </xf>
    <xf numFmtId="164" fontId="1" fillId="2" borderId="16" xfId="0" applyNumberFormat="1" applyFont="1" applyFill="1" applyBorder="1" applyAlignment="1">
      <alignment horizontal="right" vertical="top"/>
    </xf>
    <xf numFmtId="164" fontId="1" fillId="2" borderId="17" xfId="0" applyNumberFormat="1" applyFont="1" applyFill="1" applyBorder="1" applyAlignment="1">
      <alignment horizontal="right" vertical="top"/>
    </xf>
    <xf numFmtId="164" fontId="1" fillId="2" borderId="18" xfId="0" applyNumberFormat="1" applyFont="1" applyFill="1" applyBorder="1" applyAlignment="1">
      <alignment horizontal="right" vertical="top"/>
    </xf>
    <xf numFmtId="3" fontId="1" fillId="2" borderId="12" xfId="0" applyNumberFormat="1" applyFont="1" applyFill="1" applyBorder="1" applyAlignment="1">
      <alignment horizontal="right" vertical="top"/>
    </xf>
    <xf numFmtId="2" fontId="1" fillId="2" borderId="15" xfId="0" applyNumberFormat="1" applyFont="1" applyFill="1" applyBorder="1"/>
    <xf numFmtId="3" fontId="1" fillId="2" borderId="15" xfId="0" applyNumberFormat="1" applyFont="1" applyFill="1" applyBorder="1" applyAlignment="1">
      <alignment horizontal="right" vertical="top"/>
    </xf>
    <xf numFmtId="49" fontId="1" fillId="2" borderId="11" xfId="0" applyNumberFormat="1" applyFont="1" applyFill="1" applyBorder="1" applyAlignment="1">
      <alignment horizontal="left" wrapText="1"/>
    </xf>
    <xf numFmtId="0" fontId="1" fillId="2" borderId="1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A7270-84A0-4A54-BAC4-D8210B041B20}">
  <dimension ref="A1:AV78"/>
  <sheetViews>
    <sheetView tabSelected="1" topLeftCell="A2" zoomScale="26" zoomScaleNormal="38" workbookViewId="0">
      <selection activeCell="AG54" sqref="A1:AV78"/>
    </sheetView>
  </sheetViews>
  <sheetFormatPr defaultRowHeight="14.4" x14ac:dyDescent="0.3"/>
  <sheetData>
    <row r="1" spans="1:48" ht="15.6" x14ac:dyDescent="0.3">
      <c r="A1" s="1"/>
      <c r="B1" s="2" t="s">
        <v>0</v>
      </c>
      <c r="C1" s="3"/>
      <c r="D1" s="3"/>
      <c r="E1" s="3"/>
      <c r="F1" s="3"/>
      <c r="G1" s="3"/>
      <c r="H1" s="3"/>
      <c r="I1" s="4"/>
      <c r="J1" s="2" t="s">
        <v>1</v>
      </c>
      <c r="K1" s="3"/>
      <c r="L1" s="3"/>
      <c r="M1" s="3"/>
      <c r="N1" s="3"/>
      <c r="O1" s="3"/>
      <c r="P1" s="3"/>
      <c r="Q1" s="4"/>
      <c r="R1" s="2" t="s">
        <v>2</v>
      </c>
      <c r="S1" s="3"/>
      <c r="T1" s="3"/>
      <c r="U1" s="3"/>
      <c r="V1" s="3"/>
      <c r="W1" s="3"/>
      <c r="X1" s="3"/>
      <c r="Y1" s="4"/>
      <c r="Z1" s="2" t="s">
        <v>3</v>
      </c>
      <c r="AA1" s="3"/>
      <c r="AB1" s="3"/>
      <c r="AC1" s="3"/>
      <c r="AD1" s="3"/>
      <c r="AE1" s="3"/>
      <c r="AF1" s="3"/>
      <c r="AG1" s="4"/>
      <c r="AH1" s="2" t="s">
        <v>4</v>
      </c>
      <c r="AI1" s="3"/>
      <c r="AJ1" s="3"/>
      <c r="AK1" s="3"/>
      <c r="AL1" s="3"/>
      <c r="AM1" s="3"/>
      <c r="AN1" s="3"/>
      <c r="AO1" s="4"/>
      <c r="AP1" s="5" t="s">
        <v>5</v>
      </c>
      <c r="AQ1" s="6"/>
      <c r="AR1" s="6"/>
      <c r="AS1" s="6"/>
      <c r="AT1" s="6"/>
      <c r="AU1" s="6"/>
      <c r="AV1" s="6"/>
    </row>
    <row r="2" spans="1:48" ht="15.6" x14ac:dyDescent="0.3">
      <c r="A2" s="7" t="s">
        <v>6</v>
      </c>
      <c r="B2" s="1">
        <v>2012</v>
      </c>
      <c r="C2" s="1">
        <v>2013</v>
      </c>
      <c r="D2" s="1">
        <v>2014</v>
      </c>
      <c r="E2" s="1">
        <v>2015</v>
      </c>
      <c r="F2" s="1">
        <v>2016</v>
      </c>
      <c r="G2" s="1">
        <v>2017</v>
      </c>
      <c r="H2" s="1">
        <v>2018</v>
      </c>
      <c r="I2" s="1">
        <v>2019</v>
      </c>
      <c r="J2" s="1">
        <v>2012</v>
      </c>
      <c r="K2" s="1">
        <v>2013</v>
      </c>
      <c r="L2" s="1">
        <v>2014</v>
      </c>
      <c r="M2" s="1">
        <v>2015</v>
      </c>
      <c r="N2" s="1">
        <v>2016</v>
      </c>
      <c r="O2" s="1">
        <v>2017</v>
      </c>
      <c r="P2" s="1">
        <v>2018</v>
      </c>
      <c r="Q2" s="1">
        <v>2019</v>
      </c>
      <c r="R2" s="1">
        <v>2012</v>
      </c>
      <c r="S2" s="1">
        <v>2013</v>
      </c>
      <c r="T2" s="1">
        <v>2014</v>
      </c>
      <c r="U2" s="1">
        <v>2015</v>
      </c>
      <c r="V2" s="1">
        <v>2016</v>
      </c>
      <c r="W2" s="1">
        <v>2017</v>
      </c>
      <c r="X2" s="1">
        <v>2018</v>
      </c>
      <c r="Y2" s="1">
        <v>2019</v>
      </c>
      <c r="Z2" s="1">
        <v>2012</v>
      </c>
      <c r="AA2" s="1">
        <v>2013</v>
      </c>
      <c r="AB2" s="1">
        <v>2014</v>
      </c>
      <c r="AC2" s="1">
        <v>2015</v>
      </c>
      <c r="AD2" s="1">
        <v>2016</v>
      </c>
      <c r="AE2" s="1">
        <v>2017</v>
      </c>
      <c r="AF2" s="1">
        <v>2018</v>
      </c>
      <c r="AG2" s="1">
        <v>2019</v>
      </c>
      <c r="AH2" s="8">
        <v>2012</v>
      </c>
      <c r="AI2" s="8">
        <v>2013</v>
      </c>
      <c r="AJ2" s="1">
        <v>2014</v>
      </c>
      <c r="AK2" s="8">
        <v>2015</v>
      </c>
      <c r="AL2" s="1">
        <v>2016</v>
      </c>
      <c r="AM2" s="1">
        <v>2017</v>
      </c>
      <c r="AN2" s="1">
        <v>2018</v>
      </c>
      <c r="AO2" s="1">
        <v>2019</v>
      </c>
      <c r="AP2" s="9">
        <v>2013</v>
      </c>
      <c r="AQ2" s="9">
        <v>2014</v>
      </c>
      <c r="AR2" s="9">
        <v>2015</v>
      </c>
      <c r="AS2" s="9">
        <v>2016</v>
      </c>
      <c r="AT2" s="9">
        <v>2017</v>
      </c>
      <c r="AU2" s="9">
        <v>2018</v>
      </c>
      <c r="AV2" s="9">
        <v>2019</v>
      </c>
    </row>
    <row r="3" spans="1:48" x14ac:dyDescent="0.3">
      <c r="A3" s="10" t="s">
        <v>7</v>
      </c>
      <c r="B3" s="11"/>
      <c r="C3" s="12">
        <v>205</v>
      </c>
      <c r="D3" s="12">
        <v>199</v>
      </c>
      <c r="E3" s="12">
        <v>207</v>
      </c>
      <c r="F3" s="12">
        <v>196</v>
      </c>
      <c r="G3" s="12">
        <v>160</v>
      </c>
      <c r="H3" s="12">
        <v>146</v>
      </c>
      <c r="I3" s="12">
        <v>171</v>
      </c>
      <c r="J3" s="12"/>
      <c r="K3" s="12">
        <v>2394694</v>
      </c>
      <c r="L3" s="12">
        <v>2387725</v>
      </c>
      <c r="M3" s="12">
        <v>2380793</v>
      </c>
      <c r="N3" s="12">
        <v>2371227</v>
      </c>
      <c r="O3" s="12">
        <v>2357880</v>
      </c>
      <c r="P3" s="12">
        <v>2341447</v>
      </c>
      <c r="Q3" s="13">
        <v>2324983</v>
      </c>
      <c r="R3" s="14">
        <v>9.9690791000350998E-2</v>
      </c>
      <c r="S3" s="15">
        <f t="shared" ref="S3:Y18" si="0">C3/K3*1000</f>
        <v>8.5605927103838728E-2</v>
      </c>
      <c r="T3" s="12">
        <f t="shared" si="0"/>
        <v>8.334293103267755E-2</v>
      </c>
      <c r="U3" s="12">
        <f t="shared" si="0"/>
        <v>8.6945820153201056E-2</v>
      </c>
      <c r="V3" s="12">
        <f t="shared" si="0"/>
        <v>8.2657628308044739E-2</v>
      </c>
      <c r="W3" s="12">
        <f t="shared" si="0"/>
        <v>6.78575669669364E-2</v>
      </c>
      <c r="X3" s="12">
        <f t="shared" si="0"/>
        <v>6.235460379842038E-2</v>
      </c>
      <c r="Y3" s="12">
        <f t="shared" si="0"/>
        <v>7.3548924873859292E-2</v>
      </c>
      <c r="Z3" s="16">
        <v>0.377</v>
      </c>
      <c r="AA3" s="17">
        <v>0.379</v>
      </c>
      <c r="AB3" s="17">
        <v>0.38100000000000001</v>
      </c>
      <c r="AC3" s="17">
        <v>0.377</v>
      </c>
      <c r="AD3" s="17">
        <v>0.379</v>
      </c>
      <c r="AE3" s="17">
        <v>0.38200000000000001</v>
      </c>
      <c r="AF3" s="17">
        <v>0.38400000000000001</v>
      </c>
      <c r="AG3" s="18">
        <v>0.38200000000000001</v>
      </c>
      <c r="AH3" s="19">
        <v>6.2</v>
      </c>
      <c r="AI3" s="19">
        <v>8.3000000000000007</v>
      </c>
      <c r="AJ3" s="20">
        <v>7.2</v>
      </c>
      <c r="AK3" s="21">
        <v>8</v>
      </c>
      <c r="AL3" s="22">
        <v>8.6</v>
      </c>
      <c r="AM3" s="17">
        <v>6.9</v>
      </c>
      <c r="AN3" s="17">
        <v>6.1</v>
      </c>
      <c r="AO3" s="17">
        <v>5.9</v>
      </c>
      <c r="AP3" s="23">
        <v>7.7294685990338197</v>
      </c>
      <c r="AQ3" s="23">
        <v>8.2125603864734291</v>
      </c>
      <c r="AR3" s="23">
        <v>8.1339712918660307</v>
      </c>
      <c r="AS3" s="23">
        <v>8.6734693877550999</v>
      </c>
      <c r="AT3" s="23">
        <v>8.0745341614906803</v>
      </c>
      <c r="AU3" s="23">
        <v>6.0810810810810798</v>
      </c>
      <c r="AV3" s="23">
        <v>7.60233918128655</v>
      </c>
    </row>
    <row r="4" spans="1:48" x14ac:dyDescent="0.3">
      <c r="A4" s="24" t="s">
        <v>8</v>
      </c>
      <c r="B4" s="25"/>
      <c r="C4" s="26">
        <v>159</v>
      </c>
      <c r="D4" s="26">
        <v>131</v>
      </c>
      <c r="E4" s="26">
        <v>127</v>
      </c>
      <c r="F4" s="26">
        <v>110</v>
      </c>
      <c r="G4" s="26">
        <v>114</v>
      </c>
      <c r="H4" s="26">
        <v>118</v>
      </c>
      <c r="I4" s="26">
        <v>120</v>
      </c>
      <c r="J4" s="26"/>
      <c r="K4" s="26">
        <v>814092</v>
      </c>
      <c r="L4" s="26">
        <v>810573</v>
      </c>
      <c r="M4" s="26">
        <v>807781</v>
      </c>
      <c r="N4" s="26">
        <v>803720</v>
      </c>
      <c r="O4" s="26">
        <v>800088</v>
      </c>
      <c r="P4" s="26">
        <v>795809</v>
      </c>
      <c r="Q4" s="26">
        <v>791619</v>
      </c>
      <c r="R4" s="26">
        <v>0.193178831023542</v>
      </c>
      <c r="S4" s="26">
        <f t="shared" si="0"/>
        <v>0.19530962102563346</v>
      </c>
      <c r="T4" s="26">
        <f t="shared" si="0"/>
        <v>0.16161406807283241</v>
      </c>
      <c r="U4" s="26">
        <f t="shared" si="0"/>
        <v>0.1572208308935219</v>
      </c>
      <c r="V4" s="26">
        <f t="shared" si="0"/>
        <v>0.13686358433285223</v>
      </c>
      <c r="W4" s="26">
        <f t="shared" si="0"/>
        <v>0.14248432672406036</v>
      </c>
      <c r="X4" s="26">
        <f t="shared" si="0"/>
        <v>0.14827678500745783</v>
      </c>
      <c r="Y4" s="26">
        <f t="shared" si="0"/>
        <v>0.15158807456617387</v>
      </c>
      <c r="Z4" s="27">
        <v>0.39200000000000002</v>
      </c>
      <c r="AA4" s="28">
        <v>0.38300000000000001</v>
      </c>
      <c r="AB4" s="28">
        <v>0.38500000000000001</v>
      </c>
      <c r="AC4" s="28">
        <v>0.38300000000000001</v>
      </c>
      <c r="AD4" s="28">
        <v>0.375</v>
      </c>
      <c r="AE4" s="28">
        <v>0.39100000000000001</v>
      </c>
      <c r="AF4" s="28">
        <v>0.40100000000000002</v>
      </c>
      <c r="AG4" s="28">
        <v>0.4</v>
      </c>
      <c r="AH4" s="29">
        <v>5.3</v>
      </c>
      <c r="AI4" s="29">
        <v>6.1</v>
      </c>
      <c r="AJ4" s="28">
        <v>5.6</v>
      </c>
      <c r="AK4" s="29">
        <v>5.8</v>
      </c>
      <c r="AL4" s="28">
        <v>5.9</v>
      </c>
      <c r="AM4" s="28">
        <v>5.9</v>
      </c>
      <c r="AN4" s="28">
        <v>5.6</v>
      </c>
      <c r="AO4" s="28">
        <v>5.3</v>
      </c>
      <c r="AP4" s="30">
        <v>11.180124223602499</v>
      </c>
      <c r="AQ4" s="30">
        <v>11.363636363636401</v>
      </c>
      <c r="AR4" s="30">
        <v>8.59375</v>
      </c>
      <c r="AS4" s="30">
        <v>9.0090090090090094</v>
      </c>
      <c r="AT4" s="30">
        <v>6.1403508771929802</v>
      </c>
      <c r="AU4" s="30">
        <v>5.0847457627118704</v>
      </c>
      <c r="AV4" s="30">
        <v>11.6666666666667</v>
      </c>
    </row>
    <row r="5" spans="1:48" x14ac:dyDescent="0.3">
      <c r="A5" s="24" t="s">
        <v>9</v>
      </c>
      <c r="B5" s="25"/>
      <c r="C5" s="26">
        <v>104</v>
      </c>
      <c r="D5" s="26">
        <v>143</v>
      </c>
      <c r="E5" s="26">
        <v>139</v>
      </c>
      <c r="F5" s="26">
        <v>131</v>
      </c>
      <c r="G5" s="26">
        <v>170</v>
      </c>
      <c r="H5" s="26">
        <v>119</v>
      </c>
      <c r="I5" s="26">
        <v>127</v>
      </c>
      <c r="J5" s="26"/>
      <c r="K5" s="26">
        <v>1197040</v>
      </c>
      <c r="L5" s="26">
        <v>1187554</v>
      </c>
      <c r="M5" s="26">
        <v>1178701</v>
      </c>
      <c r="N5" s="26">
        <v>1169914</v>
      </c>
      <c r="O5" s="26">
        <v>1160389</v>
      </c>
      <c r="P5" s="26">
        <v>1149574</v>
      </c>
      <c r="Q5" s="26">
        <v>1140327</v>
      </c>
      <c r="R5" s="26">
        <v>0.10637905790036201</v>
      </c>
      <c r="S5" s="26">
        <f t="shared" si="0"/>
        <v>8.6880973066898348E-2</v>
      </c>
      <c r="T5" s="26">
        <f t="shared" si="0"/>
        <v>0.12041557689166134</v>
      </c>
      <c r="U5" s="26">
        <f t="shared" si="0"/>
        <v>0.11792642917924054</v>
      </c>
      <c r="V5" s="26">
        <f t="shared" si="0"/>
        <v>0.11197404253645994</v>
      </c>
      <c r="W5" s="26">
        <f t="shared" si="0"/>
        <v>0.14650259525038586</v>
      </c>
      <c r="X5" s="26">
        <f t="shared" si="0"/>
        <v>0.10351660702138357</v>
      </c>
      <c r="Y5" s="26">
        <f t="shared" si="0"/>
        <v>0.11137156271841323</v>
      </c>
      <c r="Z5" s="28">
        <v>0.38900000000000001</v>
      </c>
      <c r="AA5" s="28">
        <v>0.36499999999999999</v>
      </c>
      <c r="AB5" s="28">
        <v>0.36299999999999999</v>
      </c>
      <c r="AC5" s="28">
        <v>0.35599999999999998</v>
      </c>
      <c r="AD5" s="28">
        <v>0.36499999999999999</v>
      </c>
      <c r="AE5" s="28">
        <v>0.378</v>
      </c>
      <c r="AF5" s="28">
        <v>0.376</v>
      </c>
      <c r="AG5" s="28">
        <v>0.375</v>
      </c>
      <c r="AH5" s="28">
        <v>5.4</v>
      </c>
      <c r="AI5" s="28">
        <v>6</v>
      </c>
      <c r="AJ5" s="28">
        <v>7.3</v>
      </c>
      <c r="AK5" s="28">
        <v>6.8</v>
      </c>
      <c r="AL5" s="28">
        <v>7</v>
      </c>
      <c r="AM5" s="28">
        <v>6.3</v>
      </c>
      <c r="AN5" s="28">
        <v>6.4</v>
      </c>
      <c r="AO5" s="28">
        <v>6.2</v>
      </c>
      <c r="AP5" s="30">
        <v>6.6666666666666696</v>
      </c>
      <c r="AQ5" s="30">
        <v>10.067114093959701</v>
      </c>
      <c r="AR5" s="30">
        <v>8.4507042253521103</v>
      </c>
      <c r="AS5" s="30">
        <v>8.9552238805970106</v>
      </c>
      <c r="AT5" s="30">
        <v>5.7803468208092497</v>
      </c>
      <c r="AU5" s="30">
        <v>4.95867768595041</v>
      </c>
      <c r="AV5" s="30">
        <v>4.7244094488188999</v>
      </c>
    </row>
    <row r="6" spans="1:48" x14ac:dyDescent="0.3">
      <c r="A6" s="24" t="s">
        <v>10</v>
      </c>
      <c r="B6" s="25"/>
      <c r="C6" s="26">
        <v>59</v>
      </c>
      <c r="D6" s="26">
        <v>57</v>
      </c>
      <c r="E6" s="26">
        <v>65</v>
      </c>
      <c r="F6" s="26">
        <v>60</v>
      </c>
      <c r="G6" s="26">
        <v>55</v>
      </c>
      <c r="H6" s="26">
        <v>48</v>
      </c>
      <c r="I6" s="26">
        <v>43</v>
      </c>
      <c r="J6" s="26"/>
      <c r="K6" s="26">
        <v>1015178</v>
      </c>
      <c r="L6" s="26">
        <v>1018902</v>
      </c>
      <c r="M6" s="26">
        <v>1019956</v>
      </c>
      <c r="N6" s="26">
        <v>1018746</v>
      </c>
      <c r="O6" s="26">
        <v>1018190</v>
      </c>
      <c r="P6" s="26">
        <v>1015790</v>
      </c>
      <c r="Q6" s="26">
        <v>1009924</v>
      </c>
      <c r="R6" s="26">
        <v>0.105994325836464</v>
      </c>
      <c r="S6" s="26">
        <f t="shared" si="0"/>
        <v>5.8117886715433158E-2</v>
      </c>
      <c r="T6" s="26">
        <f t="shared" si="0"/>
        <v>5.5942573476153744E-2</v>
      </c>
      <c r="U6" s="26">
        <f t="shared" si="0"/>
        <v>6.3728239257379735E-2</v>
      </c>
      <c r="V6" s="26">
        <f t="shared" si="0"/>
        <v>5.8895936769322289E-2</v>
      </c>
      <c r="W6" s="26">
        <f t="shared" si="0"/>
        <v>5.4017423074278863E-2</v>
      </c>
      <c r="X6" s="26">
        <f t="shared" si="0"/>
        <v>4.7253861526496618E-2</v>
      </c>
      <c r="Y6" s="26">
        <f t="shared" si="0"/>
        <v>4.2577461274313708E-2</v>
      </c>
      <c r="Z6" s="27">
        <v>0.40600000000000003</v>
      </c>
      <c r="AA6" s="28">
        <v>0.378</v>
      </c>
      <c r="AB6" s="28">
        <v>0.376</v>
      </c>
      <c r="AC6" s="28">
        <v>0.36899999999999999</v>
      </c>
      <c r="AD6" s="28">
        <v>0.376</v>
      </c>
      <c r="AE6" s="28">
        <v>0.38800000000000001</v>
      </c>
      <c r="AF6" s="28">
        <v>0.39100000000000001</v>
      </c>
      <c r="AG6" s="28">
        <v>0.39100000000000001</v>
      </c>
      <c r="AH6" s="28">
        <v>7.9</v>
      </c>
      <c r="AI6" s="28">
        <v>6.1</v>
      </c>
      <c r="AJ6" s="28">
        <v>7.2</v>
      </c>
      <c r="AK6" s="28">
        <v>6.8</v>
      </c>
      <c r="AL6" s="28">
        <v>7.1</v>
      </c>
      <c r="AM6" s="28">
        <v>6.4</v>
      </c>
      <c r="AN6" s="28">
        <v>6.4</v>
      </c>
      <c r="AO6" s="28">
        <v>6.3</v>
      </c>
      <c r="AP6" s="30">
        <v>15.8730158730159</v>
      </c>
      <c r="AQ6" s="30">
        <v>10.3448275862069</v>
      </c>
      <c r="AR6" s="30">
        <v>6.0606060606060597</v>
      </c>
      <c r="AS6" s="30">
        <v>5</v>
      </c>
      <c r="AT6" s="30">
        <v>7.2727272727272698</v>
      </c>
      <c r="AU6" s="30">
        <v>2.0408163265306101</v>
      </c>
      <c r="AV6" s="30">
        <v>2.2727272727272698</v>
      </c>
    </row>
    <row r="7" spans="1:48" x14ac:dyDescent="0.3">
      <c r="A7" s="24" t="s">
        <v>11</v>
      </c>
      <c r="B7" s="25"/>
      <c r="C7" s="26">
        <v>78</v>
      </c>
      <c r="D7" s="26">
        <v>61</v>
      </c>
      <c r="E7" s="26">
        <v>73</v>
      </c>
      <c r="F7" s="26">
        <v>67</v>
      </c>
      <c r="G7" s="26">
        <v>66</v>
      </c>
      <c r="H7" s="26">
        <v>63</v>
      </c>
      <c r="I7" s="26">
        <v>47</v>
      </c>
      <c r="J7" s="26"/>
      <c r="K7" s="26">
        <v>1542546</v>
      </c>
      <c r="L7" s="26">
        <v>1546022</v>
      </c>
      <c r="M7" s="26">
        <v>1549037</v>
      </c>
      <c r="N7" s="26">
        <v>1551501</v>
      </c>
      <c r="O7" s="26">
        <v>1551371</v>
      </c>
      <c r="P7" s="26">
        <v>1548647</v>
      </c>
      <c r="Q7" s="26">
        <v>1548284</v>
      </c>
      <c r="R7" s="26">
        <v>4.2227891587359401E-2</v>
      </c>
      <c r="S7" s="26">
        <f t="shared" si="0"/>
        <v>5.0565752982407002E-2</v>
      </c>
      <c r="T7" s="26">
        <f t="shared" si="0"/>
        <v>3.9456100883428567E-2</v>
      </c>
      <c r="U7" s="26">
        <f t="shared" si="0"/>
        <v>4.7126053154314583E-2</v>
      </c>
      <c r="V7" s="26">
        <f t="shared" si="0"/>
        <v>4.3183987635199719E-2</v>
      </c>
      <c r="W7" s="26">
        <f t="shared" si="0"/>
        <v>4.2543015178187552E-2</v>
      </c>
      <c r="X7" s="26">
        <f t="shared" si="0"/>
        <v>4.0680671579772537E-2</v>
      </c>
      <c r="Y7" s="26">
        <f t="shared" si="0"/>
        <v>3.0356187882843201E-2</v>
      </c>
      <c r="Z7" s="28">
        <v>0.41</v>
      </c>
      <c r="AA7" s="28">
        <v>0.40200000000000002</v>
      </c>
      <c r="AB7" s="28">
        <v>0.39500000000000002</v>
      </c>
      <c r="AC7" s="28">
        <v>0.38800000000000001</v>
      </c>
      <c r="AD7" s="28">
        <v>0.39700000000000002</v>
      </c>
      <c r="AE7" s="28">
        <v>0.39400000000000002</v>
      </c>
      <c r="AF7" s="28">
        <v>0.39300000000000002</v>
      </c>
      <c r="AG7" s="28">
        <v>0.38700000000000001</v>
      </c>
      <c r="AH7" s="28">
        <v>3.7</v>
      </c>
      <c r="AI7" s="28">
        <v>4</v>
      </c>
      <c r="AJ7" s="28">
        <v>4</v>
      </c>
      <c r="AK7" s="28">
        <v>4.0999999999999996</v>
      </c>
      <c r="AL7" s="28">
        <v>4</v>
      </c>
      <c r="AM7" s="28">
        <v>3.9</v>
      </c>
      <c r="AN7" s="28">
        <v>4</v>
      </c>
      <c r="AO7" s="28">
        <v>3.9</v>
      </c>
      <c r="AP7" s="30">
        <v>12.8205128205128</v>
      </c>
      <c r="AQ7" s="30">
        <v>19.672131147540998</v>
      </c>
      <c r="AR7" s="30">
        <v>6.8493150684931496</v>
      </c>
      <c r="AS7" s="30">
        <v>7.4626865671641802</v>
      </c>
      <c r="AT7" s="30">
        <v>17.3913043478261</v>
      </c>
      <c r="AU7" s="30">
        <v>9.375</v>
      </c>
      <c r="AV7" s="30">
        <v>14.5833333333333</v>
      </c>
    </row>
    <row r="8" spans="1:48" x14ac:dyDescent="0.3">
      <c r="A8" s="24" t="s">
        <v>12</v>
      </c>
      <c r="B8" s="25"/>
      <c r="C8" s="26">
        <v>89</v>
      </c>
      <c r="D8" s="26">
        <v>106</v>
      </c>
      <c r="E8" s="26">
        <v>91</v>
      </c>
      <c r="F8" s="26">
        <v>61</v>
      </c>
      <c r="G8" s="26">
        <v>59</v>
      </c>
      <c r="H8" s="26">
        <v>45</v>
      </c>
      <c r="I8" s="26">
        <v>56</v>
      </c>
      <c r="J8" s="26"/>
      <c r="K8" s="26">
        <v>1248132</v>
      </c>
      <c r="L8" s="26">
        <v>1237769</v>
      </c>
      <c r="M8" s="26">
        <v>1229340</v>
      </c>
      <c r="N8" s="26">
        <v>1223135</v>
      </c>
      <c r="O8" s="26">
        <v>1215756</v>
      </c>
      <c r="P8" s="26">
        <v>1205584</v>
      </c>
      <c r="Q8" s="26">
        <v>1196339</v>
      </c>
      <c r="R8" s="26">
        <v>9.22122758387144E-2</v>
      </c>
      <c r="S8" s="26">
        <f t="shared" si="0"/>
        <v>7.1306560524047144E-2</v>
      </c>
      <c r="T8" s="26">
        <f t="shared" si="0"/>
        <v>8.5637950215266337E-2</v>
      </c>
      <c r="U8" s="26">
        <f t="shared" si="0"/>
        <v>7.4023459742626127E-2</v>
      </c>
      <c r="V8" s="26">
        <f t="shared" si="0"/>
        <v>4.987184570795538E-2</v>
      </c>
      <c r="W8" s="26">
        <f t="shared" si="0"/>
        <v>4.8529474664324092E-2</v>
      </c>
      <c r="X8" s="26">
        <f t="shared" si="0"/>
        <v>3.7326308245630338E-2</v>
      </c>
      <c r="Y8" s="26">
        <f t="shared" si="0"/>
        <v>4.6809474572006765E-2</v>
      </c>
      <c r="Z8" s="28">
        <v>0.39700000000000002</v>
      </c>
      <c r="AA8" s="28">
        <v>0.38400000000000001</v>
      </c>
      <c r="AB8" s="28">
        <v>0.38300000000000001</v>
      </c>
      <c r="AC8" s="28">
        <v>0.375</v>
      </c>
      <c r="AD8" s="28">
        <v>0.376</v>
      </c>
      <c r="AE8" s="28">
        <v>0.374</v>
      </c>
      <c r="AF8" s="28">
        <v>0.378</v>
      </c>
      <c r="AG8" s="28">
        <v>0.377</v>
      </c>
      <c r="AH8" s="28">
        <v>5.0999999999999996</v>
      </c>
      <c r="AI8" s="28">
        <v>5.2</v>
      </c>
      <c r="AJ8" s="28">
        <v>5</v>
      </c>
      <c r="AK8" s="28">
        <v>4.7</v>
      </c>
      <c r="AL8" s="28">
        <v>4.5999999999999996</v>
      </c>
      <c r="AM8" s="28">
        <v>4.4000000000000004</v>
      </c>
      <c r="AN8" s="28">
        <v>4</v>
      </c>
      <c r="AO8" s="28">
        <v>3.8</v>
      </c>
      <c r="AP8" s="30">
        <v>3.3333333333333299</v>
      </c>
      <c r="AQ8" s="30">
        <v>2.8037383177570101</v>
      </c>
      <c r="AR8" s="30">
        <v>12.0879120879121</v>
      </c>
      <c r="AS8" s="30">
        <v>11.1111111111111</v>
      </c>
      <c r="AT8" s="30">
        <v>10</v>
      </c>
      <c r="AU8" s="30">
        <v>4.3478260869565197</v>
      </c>
      <c r="AV8" s="30">
        <v>8.9285714285714306</v>
      </c>
    </row>
    <row r="9" spans="1:48" x14ac:dyDescent="0.3">
      <c r="A9" s="24" t="s">
        <v>13</v>
      </c>
      <c r="B9" s="25"/>
      <c r="C9" s="26">
        <v>118</v>
      </c>
      <c r="D9" s="26">
        <v>123</v>
      </c>
      <c r="E9" s="26">
        <v>109</v>
      </c>
      <c r="F9" s="26">
        <v>111</v>
      </c>
      <c r="G9" s="26">
        <v>100</v>
      </c>
      <c r="H9" s="26">
        <v>74</v>
      </c>
      <c r="I9" s="26">
        <v>62</v>
      </c>
      <c r="J9" s="26"/>
      <c r="K9" s="26">
        <v>1417531</v>
      </c>
      <c r="L9" s="26">
        <v>1409467</v>
      </c>
      <c r="M9" s="26">
        <v>1401390</v>
      </c>
      <c r="N9" s="26">
        <v>1393383</v>
      </c>
      <c r="O9" s="26">
        <v>1383968</v>
      </c>
      <c r="P9" s="26">
        <v>1372071</v>
      </c>
      <c r="Q9" s="26">
        <v>1362110</v>
      </c>
      <c r="R9" s="26">
        <v>0.10285143355307599</v>
      </c>
      <c r="S9" s="26">
        <f t="shared" si="0"/>
        <v>8.3243329422778053E-2</v>
      </c>
      <c r="T9" s="26">
        <f t="shared" si="0"/>
        <v>8.7267030728637146E-2</v>
      </c>
      <c r="U9" s="26">
        <f t="shared" si="0"/>
        <v>7.7779918509479878E-2</v>
      </c>
      <c r="V9" s="26">
        <f t="shared" si="0"/>
        <v>7.9662232135744443E-2</v>
      </c>
      <c r="W9" s="26">
        <f t="shared" si="0"/>
        <v>7.2256005919211996E-2</v>
      </c>
      <c r="X9" s="26">
        <f t="shared" si="0"/>
        <v>5.3933069061294935E-2</v>
      </c>
      <c r="Y9" s="26">
        <f t="shared" si="0"/>
        <v>4.551761605156706E-2</v>
      </c>
      <c r="Z9" s="28">
        <v>0.374</v>
      </c>
      <c r="AA9" s="28">
        <v>0.36899999999999999</v>
      </c>
      <c r="AB9" s="28">
        <v>0.35899999999999999</v>
      </c>
      <c r="AC9" s="28">
        <v>0.35299999999999998</v>
      </c>
      <c r="AD9" s="28">
        <v>0.35</v>
      </c>
      <c r="AE9" s="28">
        <v>0.34699999999999998</v>
      </c>
      <c r="AF9" s="28">
        <v>0.34200000000000003</v>
      </c>
      <c r="AG9" s="28">
        <v>0.33800000000000002</v>
      </c>
      <c r="AH9" s="28">
        <v>4.4000000000000004</v>
      </c>
      <c r="AI9" s="28">
        <v>3.8</v>
      </c>
      <c r="AJ9" s="28">
        <v>4.3</v>
      </c>
      <c r="AK9" s="28">
        <v>5.6</v>
      </c>
      <c r="AL9" s="28">
        <v>5.6</v>
      </c>
      <c r="AM9" s="28">
        <v>4.8</v>
      </c>
      <c r="AN9" s="28">
        <v>4.7</v>
      </c>
      <c r="AO9" s="28">
        <v>4</v>
      </c>
      <c r="AP9" s="30">
        <v>10.084033613445399</v>
      </c>
      <c r="AQ9" s="30">
        <v>5.6</v>
      </c>
      <c r="AR9" s="30">
        <v>5.5045871559632999</v>
      </c>
      <c r="AS9" s="30">
        <v>5.4054054054054097</v>
      </c>
      <c r="AT9" s="30">
        <v>4.9019607843137303</v>
      </c>
      <c r="AU9" s="30">
        <v>5.2631578947368398</v>
      </c>
      <c r="AV9" s="30">
        <v>6.4516129032258096</v>
      </c>
    </row>
    <row r="10" spans="1:48" x14ac:dyDescent="0.3">
      <c r="A10" s="24" t="s">
        <v>14</v>
      </c>
      <c r="B10" s="25"/>
      <c r="C10" s="26">
        <v>191</v>
      </c>
      <c r="D10" s="26">
        <v>158</v>
      </c>
      <c r="E10" s="26">
        <v>159</v>
      </c>
      <c r="F10" s="26">
        <v>107</v>
      </c>
      <c r="G10" s="26">
        <v>118</v>
      </c>
      <c r="H10" s="26">
        <v>119</v>
      </c>
      <c r="I10" s="26">
        <v>130</v>
      </c>
      <c r="J10" s="26"/>
      <c r="K10" s="26">
        <v>2576064</v>
      </c>
      <c r="L10" s="26">
        <v>2563261</v>
      </c>
      <c r="M10" s="26">
        <v>2551667</v>
      </c>
      <c r="N10" s="26">
        <v>2540570</v>
      </c>
      <c r="O10" s="26">
        <v>2528239</v>
      </c>
      <c r="P10" s="26">
        <v>2514392</v>
      </c>
      <c r="Q10" s="26">
        <v>2499272</v>
      </c>
      <c r="R10" s="26">
        <v>7.5154760996297795E-2</v>
      </c>
      <c r="S10" s="26">
        <f t="shared" si="0"/>
        <v>7.4144120642965397E-2</v>
      </c>
      <c r="T10" s="26">
        <f t="shared" si="0"/>
        <v>6.1640230940196883E-2</v>
      </c>
      <c r="U10" s="26">
        <f t="shared" si="0"/>
        <v>6.2312206098993322E-2</v>
      </c>
      <c r="V10" s="26">
        <f t="shared" si="0"/>
        <v>4.2116532904033346E-2</v>
      </c>
      <c r="W10" s="26">
        <f t="shared" si="0"/>
        <v>4.6672802689935566E-2</v>
      </c>
      <c r="X10" s="26">
        <f t="shared" si="0"/>
        <v>4.7327544790152054E-2</v>
      </c>
      <c r="Y10" s="26">
        <f t="shared" si="0"/>
        <v>5.2015146810751291E-2</v>
      </c>
      <c r="Z10" s="27">
        <v>0.36599999999999999</v>
      </c>
      <c r="AA10" s="28">
        <v>0.36699999999999999</v>
      </c>
      <c r="AB10" s="28">
        <v>0.36199999999999999</v>
      </c>
      <c r="AC10" s="28">
        <v>0.35499999999999998</v>
      </c>
      <c r="AD10" s="28">
        <v>0.34399999999999997</v>
      </c>
      <c r="AE10" s="28">
        <v>0.34200000000000003</v>
      </c>
      <c r="AF10" s="28">
        <v>0.34899999999999998</v>
      </c>
      <c r="AG10" s="28">
        <v>0.34499999999999997</v>
      </c>
      <c r="AH10" s="31">
        <v>6</v>
      </c>
      <c r="AI10" s="28">
        <v>6.6</v>
      </c>
      <c r="AJ10" s="28">
        <v>6.6</v>
      </c>
      <c r="AK10" s="28">
        <v>7.2</v>
      </c>
      <c r="AL10" s="28">
        <v>6.8</v>
      </c>
      <c r="AM10" s="28">
        <v>6</v>
      </c>
      <c r="AN10" s="28">
        <v>5.6</v>
      </c>
      <c r="AO10" s="28">
        <v>5.4</v>
      </c>
      <c r="AP10" s="30">
        <v>9.9476439790575899</v>
      </c>
      <c r="AQ10" s="30">
        <v>8.6956521739130395</v>
      </c>
      <c r="AR10" s="30">
        <v>9.8765432098765409</v>
      </c>
      <c r="AS10" s="30">
        <v>8.4112149532710294</v>
      </c>
      <c r="AT10" s="30">
        <v>5.8823529411764701</v>
      </c>
      <c r="AU10" s="30">
        <v>6.5573770491803298</v>
      </c>
      <c r="AV10" s="30">
        <v>6.1068702290076304</v>
      </c>
    </row>
    <row r="11" spans="1:48" x14ac:dyDescent="0.3">
      <c r="A11" s="24" t="s">
        <v>15</v>
      </c>
      <c r="B11" s="25"/>
      <c r="C11" s="26">
        <v>92</v>
      </c>
      <c r="D11" s="26">
        <v>98</v>
      </c>
      <c r="E11" s="26">
        <v>94</v>
      </c>
      <c r="F11" s="26">
        <v>84</v>
      </c>
      <c r="G11" s="26">
        <v>75</v>
      </c>
      <c r="H11" s="26">
        <v>81</v>
      </c>
      <c r="I11" s="26">
        <v>63</v>
      </c>
      <c r="J11" s="26"/>
      <c r="K11" s="26">
        <v>1194783</v>
      </c>
      <c r="L11" s="26">
        <v>1192190</v>
      </c>
      <c r="M11" s="26">
        <v>1189347</v>
      </c>
      <c r="N11" s="26">
        <v>1185773</v>
      </c>
      <c r="O11" s="26">
        <v>1180274</v>
      </c>
      <c r="P11" s="26">
        <v>1172201</v>
      </c>
      <c r="Q11" s="26">
        <v>1164079</v>
      </c>
      <c r="R11" s="26">
        <v>8.8543254632858698E-2</v>
      </c>
      <c r="S11" s="26">
        <f t="shared" si="0"/>
        <v>7.700143038526662E-2</v>
      </c>
      <c r="T11" s="26">
        <f t="shared" si="0"/>
        <v>8.2201662486684174E-2</v>
      </c>
      <c r="U11" s="26">
        <f t="shared" si="0"/>
        <v>7.9034966246183835E-2</v>
      </c>
      <c r="V11" s="26">
        <f t="shared" si="0"/>
        <v>7.0839865640388161E-2</v>
      </c>
      <c r="W11" s="26">
        <f t="shared" si="0"/>
        <v>6.3544566770088975E-2</v>
      </c>
      <c r="X11" s="26">
        <f t="shared" si="0"/>
        <v>6.9100777085158605E-2</v>
      </c>
      <c r="Y11" s="26">
        <f t="shared" si="0"/>
        <v>5.4120038244827029E-2</v>
      </c>
      <c r="Z11" s="27">
        <v>0.377</v>
      </c>
      <c r="AA11" s="28">
        <v>0.36399999999999999</v>
      </c>
      <c r="AB11" s="28">
        <v>0.36499999999999999</v>
      </c>
      <c r="AC11" s="28">
        <v>0.36099999999999999</v>
      </c>
      <c r="AD11" s="28">
        <v>0.36599999999999999</v>
      </c>
      <c r="AE11" s="28">
        <v>0.35099999999999998</v>
      </c>
      <c r="AF11" s="28">
        <v>0.35299999999999998</v>
      </c>
      <c r="AG11" s="28">
        <v>0.35599999999999998</v>
      </c>
      <c r="AH11" s="28">
        <v>5.8</v>
      </c>
      <c r="AI11" s="28">
        <v>6.1</v>
      </c>
      <c r="AJ11" s="28">
        <v>5.6</v>
      </c>
      <c r="AK11" s="28">
        <v>6.8</v>
      </c>
      <c r="AL11" s="28">
        <v>6.6</v>
      </c>
      <c r="AM11" s="28">
        <v>5.3</v>
      </c>
      <c r="AN11" s="28">
        <v>5.0999999999999996</v>
      </c>
      <c r="AO11" s="28">
        <v>4.5</v>
      </c>
      <c r="AP11" s="30">
        <v>10.1010101010101</v>
      </c>
      <c r="AQ11" s="30">
        <v>4</v>
      </c>
      <c r="AR11" s="30">
        <v>3.1914893617021298</v>
      </c>
      <c r="AS11" s="30">
        <v>3.4883720930232598</v>
      </c>
      <c r="AT11" s="30">
        <v>6.5789473684210504</v>
      </c>
      <c r="AU11" s="30">
        <v>6.0240963855421699</v>
      </c>
      <c r="AV11" s="30">
        <v>4.7619047619047601</v>
      </c>
    </row>
    <row r="12" spans="1:48" x14ac:dyDescent="0.3">
      <c r="A12" s="24" t="s">
        <v>16</v>
      </c>
      <c r="B12" s="25"/>
      <c r="C12" s="26">
        <v>121</v>
      </c>
      <c r="D12" s="26">
        <v>128</v>
      </c>
      <c r="E12" s="26">
        <v>140</v>
      </c>
      <c r="F12" s="26">
        <v>116</v>
      </c>
      <c r="G12" s="26">
        <v>99</v>
      </c>
      <c r="H12" s="26">
        <v>80</v>
      </c>
      <c r="I12" s="26">
        <v>86</v>
      </c>
      <c r="J12" s="26"/>
      <c r="K12" s="26">
        <v>2329668</v>
      </c>
      <c r="L12" s="26">
        <v>2330053</v>
      </c>
      <c r="M12" s="26">
        <v>2332312</v>
      </c>
      <c r="N12" s="26">
        <v>2334443</v>
      </c>
      <c r="O12" s="26">
        <v>2334588</v>
      </c>
      <c r="P12" s="26">
        <v>2330795</v>
      </c>
      <c r="Q12" s="26">
        <v>2326013</v>
      </c>
      <c r="R12" s="26">
        <v>4.8010829871481003E-2</v>
      </c>
      <c r="S12" s="26">
        <f t="shared" si="0"/>
        <v>5.1938731184014202E-2</v>
      </c>
      <c r="T12" s="26">
        <f t="shared" si="0"/>
        <v>5.493437273744417E-2</v>
      </c>
      <c r="U12" s="26">
        <f t="shared" si="0"/>
        <v>6.0026274357804617E-2</v>
      </c>
      <c r="V12" s="26">
        <f t="shared" si="0"/>
        <v>4.9690654258853183E-2</v>
      </c>
      <c r="W12" s="26">
        <f t="shared" si="0"/>
        <v>4.240576924065402E-2</v>
      </c>
      <c r="X12" s="26">
        <f t="shared" si="0"/>
        <v>3.4323052863936984E-2</v>
      </c>
      <c r="Y12" s="26">
        <f t="shared" si="0"/>
        <v>3.6973138155289763E-2</v>
      </c>
      <c r="Z12" s="28">
        <v>0.40500000000000003</v>
      </c>
      <c r="AA12" s="28">
        <v>0.41</v>
      </c>
      <c r="AB12" s="28">
        <v>0.40899999999999997</v>
      </c>
      <c r="AC12" s="28">
        <v>0.40799999999999997</v>
      </c>
      <c r="AD12" s="28">
        <v>0.40500000000000003</v>
      </c>
      <c r="AE12" s="28">
        <v>0.39800000000000002</v>
      </c>
      <c r="AF12" s="28">
        <v>0.39700000000000002</v>
      </c>
      <c r="AG12" s="28">
        <v>0.39300000000000002</v>
      </c>
      <c r="AH12" s="28">
        <v>5.5</v>
      </c>
      <c r="AI12" s="28">
        <v>4.7</v>
      </c>
      <c r="AJ12" s="28">
        <v>4.5</v>
      </c>
      <c r="AK12" s="28">
        <v>4.5</v>
      </c>
      <c r="AL12" s="28">
        <v>4.5</v>
      </c>
      <c r="AM12" s="28">
        <v>4.3</v>
      </c>
      <c r="AN12" s="28">
        <v>3.7</v>
      </c>
      <c r="AO12" s="28">
        <v>3.5</v>
      </c>
      <c r="AP12" s="30">
        <v>14.0625</v>
      </c>
      <c r="AQ12" s="30">
        <v>13.846153846153801</v>
      </c>
      <c r="AR12" s="30">
        <v>13.986013986013999</v>
      </c>
      <c r="AS12" s="30">
        <v>9.3220338983050794</v>
      </c>
      <c r="AT12" s="30">
        <v>7.7669902912621396</v>
      </c>
      <c r="AU12" s="30">
        <v>9.5238095238095202</v>
      </c>
      <c r="AV12" s="30">
        <v>6.9767441860465098</v>
      </c>
    </row>
    <row r="13" spans="1:48" x14ac:dyDescent="0.3">
      <c r="A13" s="24" t="s">
        <v>17</v>
      </c>
      <c r="B13" s="25"/>
      <c r="C13" s="26">
        <v>419</v>
      </c>
      <c r="D13" s="26">
        <v>373</v>
      </c>
      <c r="E13" s="26">
        <v>348</v>
      </c>
      <c r="F13" s="26">
        <v>346</v>
      </c>
      <c r="G13" s="26">
        <v>311</v>
      </c>
      <c r="H13" s="26">
        <v>337</v>
      </c>
      <c r="I13" s="26">
        <v>285</v>
      </c>
      <c r="J13" s="26"/>
      <c r="K13" s="26">
        <v>12043893</v>
      </c>
      <c r="L13" s="26">
        <v>12152926</v>
      </c>
      <c r="M13" s="26">
        <v>12263861</v>
      </c>
      <c r="N13" s="26">
        <v>12355395</v>
      </c>
      <c r="O13" s="26">
        <v>12443566</v>
      </c>
      <c r="P13" s="26">
        <v>12560873</v>
      </c>
      <c r="Q13" s="26">
        <v>12646679</v>
      </c>
      <c r="R13" s="26">
        <v>3.7842954968414298E-2</v>
      </c>
      <c r="S13" s="26">
        <f t="shared" si="0"/>
        <v>3.4789415681457818E-2</v>
      </c>
      <c r="T13" s="26">
        <f t="shared" si="0"/>
        <v>3.0692197088997335E-2</v>
      </c>
      <c r="U13" s="26">
        <f t="shared" si="0"/>
        <v>2.8376055468991374E-2</v>
      </c>
      <c r="V13" s="26">
        <f t="shared" si="0"/>
        <v>2.8003961022694944E-2</v>
      </c>
      <c r="W13" s="26">
        <f t="shared" si="0"/>
        <v>2.4992835654988291E-2</v>
      </c>
      <c r="X13" s="26">
        <f t="shared" si="0"/>
        <v>2.6829345380691295E-2</v>
      </c>
      <c r="Y13" s="26">
        <f t="shared" si="0"/>
        <v>2.25355605214618E-2</v>
      </c>
      <c r="Z13" s="28">
        <v>0.48799999999999999</v>
      </c>
      <c r="AA13" s="28">
        <v>0.48499999999999999</v>
      </c>
      <c r="AB13" s="28">
        <v>0.45400000000000001</v>
      </c>
      <c r="AC13" s="28">
        <v>0.432</v>
      </c>
      <c r="AD13" s="28">
        <v>0.42499999999999999</v>
      </c>
      <c r="AE13" s="28">
        <v>0.41599999999999998</v>
      </c>
      <c r="AF13" s="28">
        <v>0.41499999999999998</v>
      </c>
      <c r="AG13" s="28">
        <v>0.41599999999999998</v>
      </c>
      <c r="AH13" s="28">
        <v>0.8</v>
      </c>
      <c r="AI13" s="28">
        <v>1.7</v>
      </c>
      <c r="AJ13" s="28">
        <v>1.5</v>
      </c>
      <c r="AK13" s="28">
        <v>1.8</v>
      </c>
      <c r="AL13" s="28">
        <v>1.8</v>
      </c>
      <c r="AM13" s="28">
        <v>1.4</v>
      </c>
      <c r="AN13" s="28">
        <v>1.3</v>
      </c>
      <c r="AO13" s="28">
        <v>1.5</v>
      </c>
      <c r="AP13" s="30">
        <v>20.803782505910199</v>
      </c>
      <c r="AQ13" s="30">
        <v>15.831134564643801</v>
      </c>
      <c r="AR13" s="30">
        <v>21.529745042492902</v>
      </c>
      <c r="AS13" s="30">
        <v>13.105413105413099</v>
      </c>
      <c r="AT13" s="30">
        <v>19.682539682539701</v>
      </c>
      <c r="AU13" s="30">
        <v>10.324483775811199</v>
      </c>
      <c r="AV13" s="30">
        <v>10.175438596491199</v>
      </c>
    </row>
    <row r="14" spans="1:48" x14ac:dyDescent="0.3">
      <c r="A14" s="24" t="s">
        <v>18</v>
      </c>
      <c r="B14" s="25"/>
      <c r="C14" s="26">
        <v>241</v>
      </c>
      <c r="D14" s="26">
        <v>256</v>
      </c>
      <c r="E14" s="26">
        <v>202</v>
      </c>
      <c r="F14" s="26">
        <v>212</v>
      </c>
      <c r="G14" s="26">
        <v>198</v>
      </c>
      <c r="H14" s="26">
        <v>189</v>
      </c>
      <c r="I14" s="26">
        <v>138</v>
      </c>
      <c r="J14" s="26"/>
      <c r="K14" s="26">
        <v>5079971</v>
      </c>
      <c r="L14" s="26">
        <v>5161816</v>
      </c>
      <c r="M14" s="26">
        <v>5208690</v>
      </c>
      <c r="N14" s="26">
        <v>5253634</v>
      </c>
      <c r="O14" s="26">
        <v>5316757</v>
      </c>
      <c r="P14" s="26">
        <v>5367912</v>
      </c>
      <c r="Q14" s="26">
        <v>5390977</v>
      </c>
      <c r="R14" s="26">
        <v>6.0320414877044898E-2</v>
      </c>
      <c r="S14" s="26">
        <f t="shared" si="0"/>
        <v>4.7441215707727469E-2</v>
      </c>
      <c r="T14" s="26">
        <f t="shared" si="0"/>
        <v>4.9594948754469355E-2</v>
      </c>
      <c r="U14" s="26">
        <f t="shared" si="0"/>
        <v>3.878134425354552E-2</v>
      </c>
      <c r="V14" s="26">
        <f t="shared" si="0"/>
        <v>4.0353020404542833E-2</v>
      </c>
      <c r="W14" s="26">
        <f t="shared" si="0"/>
        <v>3.724074656787963E-2</v>
      </c>
      <c r="X14" s="26">
        <f t="shared" si="0"/>
        <v>3.5209221015545709E-2</v>
      </c>
      <c r="Y14" s="26">
        <f t="shared" si="0"/>
        <v>2.5598328466250181E-2</v>
      </c>
      <c r="Z14" s="27">
        <v>0.442</v>
      </c>
      <c r="AA14" s="28">
        <v>0.439</v>
      </c>
      <c r="AB14" s="28">
        <v>0.43</v>
      </c>
      <c r="AC14" s="28">
        <v>0.40500000000000003</v>
      </c>
      <c r="AD14" s="28">
        <v>0.40799999999999997</v>
      </c>
      <c r="AE14" s="28">
        <v>0.40200000000000002</v>
      </c>
      <c r="AF14" s="28">
        <v>0.40100000000000002</v>
      </c>
      <c r="AG14" s="28">
        <v>0.40100000000000002</v>
      </c>
      <c r="AH14" s="28">
        <v>1.1000000000000001</v>
      </c>
      <c r="AI14" s="28">
        <v>1.5</v>
      </c>
      <c r="AJ14" s="28">
        <v>1.3</v>
      </c>
      <c r="AK14" s="28">
        <v>2.1</v>
      </c>
      <c r="AL14" s="28">
        <v>1.6</v>
      </c>
      <c r="AM14" s="28">
        <v>1.7</v>
      </c>
      <c r="AN14" s="28">
        <v>1.5</v>
      </c>
      <c r="AO14" s="28">
        <v>1.4</v>
      </c>
      <c r="AP14" s="30">
        <v>12.448132780083</v>
      </c>
      <c r="AQ14" s="30">
        <v>10.894941634241199</v>
      </c>
      <c r="AR14" s="30">
        <v>11.330049261083699</v>
      </c>
      <c r="AS14" s="30">
        <v>9.9056603773584904</v>
      </c>
      <c r="AT14" s="30">
        <v>10.1010101010101</v>
      </c>
      <c r="AU14" s="30">
        <v>6.3157894736842097</v>
      </c>
      <c r="AV14" s="30">
        <v>6.47482014388489</v>
      </c>
    </row>
    <row r="15" spans="1:48" x14ac:dyDescent="0.3">
      <c r="A15" s="24" t="s">
        <v>19</v>
      </c>
      <c r="B15" s="25"/>
      <c r="C15" s="26">
        <v>326</v>
      </c>
      <c r="D15" s="26">
        <v>288</v>
      </c>
      <c r="E15" s="26">
        <v>226</v>
      </c>
      <c r="F15" s="26">
        <v>209</v>
      </c>
      <c r="G15" s="26">
        <v>173</v>
      </c>
      <c r="H15" s="26"/>
      <c r="I15" s="26"/>
      <c r="J15" s="26"/>
      <c r="K15" s="26">
        <v>1092757</v>
      </c>
      <c r="L15" s="26">
        <v>1088898</v>
      </c>
      <c r="M15" s="26">
        <v>1085232</v>
      </c>
      <c r="N15" s="26">
        <v>1080998</v>
      </c>
      <c r="O15" s="26">
        <v>1075894</v>
      </c>
      <c r="P15" s="26">
        <v>1069296</v>
      </c>
      <c r="Q15" s="26">
        <v>1062742</v>
      </c>
      <c r="R15" s="26">
        <v>0.301434148549314</v>
      </c>
      <c r="S15" s="26">
        <f t="shared" si="0"/>
        <v>0.29832799057796011</v>
      </c>
      <c r="T15" s="26">
        <f t="shared" si="0"/>
        <v>0.26448758285900059</v>
      </c>
      <c r="U15" s="26">
        <f t="shared" si="0"/>
        <v>0.20825040175741225</v>
      </c>
      <c r="V15" s="26">
        <f t="shared" si="0"/>
        <v>0.19333985816810023</v>
      </c>
      <c r="W15" s="26">
        <f t="shared" si="0"/>
        <v>0.16079650969333412</v>
      </c>
      <c r="X15" s="26"/>
      <c r="Y15" s="26"/>
      <c r="Z15" s="27">
        <v>0.40600000000000003</v>
      </c>
      <c r="AA15" s="28">
        <v>0.40100000000000002</v>
      </c>
      <c r="AB15" s="28">
        <v>0.38200000000000001</v>
      </c>
      <c r="AC15" s="28">
        <v>0.372</v>
      </c>
      <c r="AD15" s="28">
        <v>0.371</v>
      </c>
      <c r="AE15" s="28">
        <v>0.373</v>
      </c>
      <c r="AF15" s="28">
        <v>0.374</v>
      </c>
      <c r="AG15" s="28">
        <v>0.36899999999999999</v>
      </c>
      <c r="AH15" s="28">
        <v>10.6</v>
      </c>
      <c r="AI15" s="28">
        <v>10.5</v>
      </c>
      <c r="AJ15" s="28">
        <v>10.1</v>
      </c>
      <c r="AK15" s="28">
        <v>10.4</v>
      </c>
      <c r="AL15" s="28">
        <v>10.8</v>
      </c>
      <c r="AM15" s="28">
        <v>10.7</v>
      </c>
      <c r="AN15" s="28">
        <v>10.3</v>
      </c>
      <c r="AO15" s="28">
        <v>9.1999999999999993</v>
      </c>
      <c r="AP15" s="30">
        <v>9.0634441087613293</v>
      </c>
      <c r="AQ15" s="30">
        <v>10.380622837370201</v>
      </c>
      <c r="AR15" s="30">
        <v>7.8260869565217401</v>
      </c>
      <c r="AS15" s="30">
        <v>5.7416267942583703</v>
      </c>
      <c r="AT15" s="30">
        <v>5.6818181818181799</v>
      </c>
      <c r="AU15" s="30">
        <v>4.8387096774193497</v>
      </c>
      <c r="AV15" s="30">
        <v>4.7904191616766498</v>
      </c>
    </row>
    <row r="16" spans="1:48" x14ac:dyDescent="0.3">
      <c r="A16" s="24" t="s">
        <v>20</v>
      </c>
      <c r="B16" s="25"/>
      <c r="C16" s="26">
        <v>74</v>
      </c>
      <c r="D16" s="26">
        <v>53</v>
      </c>
      <c r="E16" s="26">
        <v>52</v>
      </c>
      <c r="F16" s="26">
        <v>61</v>
      </c>
      <c r="G16" s="26">
        <v>73</v>
      </c>
      <c r="H16" s="26">
        <v>62</v>
      </c>
      <c r="I16" s="26">
        <v>53</v>
      </c>
      <c r="J16" s="26"/>
      <c r="K16" s="26">
        <v>1046046</v>
      </c>
      <c r="L16" s="26">
        <v>1040020</v>
      </c>
      <c r="M16" s="26">
        <v>1033374</v>
      </c>
      <c r="N16" s="26">
        <v>1026504</v>
      </c>
      <c r="O16" s="26">
        <v>1018908</v>
      </c>
      <c r="P16" s="26">
        <v>1009413</v>
      </c>
      <c r="Q16" s="26">
        <v>1000658</v>
      </c>
      <c r="R16" s="26">
        <v>9.0027276349259902E-2</v>
      </c>
      <c r="S16" s="26">
        <f t="shared" si="0"/>
        <v>7.0742586846085156E-2</v>
      </c>
      <c r="T16" s="26">
        <f t="shared" si="0"/>
        <v>5.0960558450799026E-2</v>
      </c>
      <c r="U16" s="26">
        <f t="shared" si="0"/>
        <v>5.0320600286053258E-2</v>
      </c>
      <c r="V16" s="26">
        <f t="shared" si="0"/>
        <v>5.9424999805163935E-2</v>
      </c>
      <c r="W16" s="26">
        <f t="shared" si="0"/>
        <v>7.1645330098497606E-2</v>
      </c>
      <c r="X16" s="26">
        <f t="shared" si="0"/>
        <v>6.1421836255328599E-2</v>
      </c>
      <c r="Y16" s="26">
        <f t="shared" si="0"/>
        <v>5.2965148932002742E-2</v>
      </c>
      <c r="Z16" s="28">
        <v>0.375</v>
      </c>
      <c r="AA16" s="28">
        <v>0.36899999999999999</v>
      </c>
      <c r="AB16" s="28">
        <v>0.36599999999999999</v>
      </c>
      <c r="AC16" s="28">
        <v>0.36</v>
      </c>
      <c r="AD16" s="28">
        <v>0.36699999999999999</v>
      </c>
      <c r="AE16" s="28">
        <v>0.36899999999999999</v>
      </c>
      <c r="AF16" s="28">
        <v>0.36399999999999999</v>
      </c>
      <c r="AG16" s="28">
        <v>0.36799999999999999</v>
      </c>
      <c r="AH16" s="32">
        <v>6.3</v>
      </c>
      <c r="AI16" s="28">
        <v>5.2</v>
      </c>
      <c r="AJ16" s="28">
        <v>4.3</v>
      </c>
      <c r="AK16" s="28">
        <v>5.6</v>
      </c>
      <c r="AL16" s="28">
        <v>5.5</v>
      </c>
      <c r="AM16" s="28">
        <v>4.7</v>
      </c>
      <c r="AN16" s="28">
        <v>4.2</v>
      </c>
      <c r="AO16" s="28">
        <v>3.8</v>
      </c>
      <c r="AP16" s="30">
        <v>18.421052631578899</v>
      </c>
      <c r="AQ16" s="30">
        <v>11.1111111111111</v>
      </c>
      <c r="AR16" s="30">
        <v>7.5471698113207504</v>
      </c>
      <c r="AS16" s="30">
        <v>9.375</v>
      </c>
      <c r="AT16" s="30">
        <v>9.5890410958904102</v>
      </c>
      <c r="AU16" s="30">
        <v>6.4516129032258096</v>
      </c>
      <c r="AV16" s="30">
        <v>5.5555555555555598</v>
      </c>
    </row>
    <row r="17" spans="1:48" x14ac:dyDescent="0.3">
      <c r="A17" s="24" t="s">
        <v>21</v>
      </c>
      <c r="B17" s="25"/>
      <c r="C17" s="26">
        <v>399</v>
      </c>
      <c r="D17" s="26">
        <v>411</v>
      </c>
      <c r="E17" s="26">
        <v>369</v>
      </c>
      <c r="F17" s="26">
        <v>325</v>
      </c>
      <c r="G17" s="26">
        <v>266</v>
      </c>
      <c r="H17" s="26">
        <v>275</v>
      </c>
      <c r="I17" s="26">
        <v>247</v>
      </c>
      <c r="J17" s="26"/>
      <c r="K17" s="26">
        <v>2420187</v>
      </c>
      <c r="L17" s="26">
        <v>2416630</v>
      </c>
      <c r="M17" s="26">
        <v>2413856</v>
      </c>
      <c r="N17" s="26">
        <v>2410850</v>
      </c>
      <c r="O17" s="26">
        <v>2406548</v>
      </c>
      <c r="P17" s="26">
        <v>2400979</v>
      </c>
      <c r="Q17" s="26">
        <v>2394478</v>
      </c>
      <c r="R17" s="26">
        <v>0.20378756095578801</v>
      </c>
      <c r="S17" s="26">
        <f t="shared" si="0"/>
        <v>0.16486329362152594</v>
      </c>
      <c r="T17" s="26">
        <f t="shared" si="0"/>
        <v>0.17007154591311041</v>
      </c>
      <c r="U17" s="26">
        <f t="shared" si="0"/>
        <v>0.15286744528256863</v>
      </c>
      <c r="V17" s="26">
        <f t="shared" si="0"/>
        <v>0.13480722566729578</v>
      </c>
      <c r="W17" s="26">
        <f t="shared" si="0"/>
        <v>0.11053176583222109</v>
      </c>
      <c r="X17" s="26">
        <f t="shared" si="0"/>
        <v>0.11453661194037933</v>
      </c>
      <c r="Y17" s="26">
        <f t="shared" si="0"/>
        <v>0.10315400684408042</v>
      </c>
      <c r="Z17" s="27">
        <v>0.41199999999999998</v>
      </c>
      <c r="AA17" s="28">
        <v>0.40100000000000002</v>
      </c>
      <c r="AB17" s="28">
        <v>0.379</v>
      </c>
      <c r="AC17" s="28">
        <v>0.37</v>
      </c>
      <c r="AD17" s="28">
        <v>0.372</v>
      </c>
      <c r="AE17" s="28">
        <v>0.37</v>
      </c>
      <c r="AF17" s="28">
        <v>0.36599999999999999</v>
      </c>
      <c r="AG17" s="33">
        <v>0.36399999999999999</v>
      </c>
      <c r="AH17" s="19">
        <v>7.8</v>
      </c>
      <c r="AI17" s="34">
        <v>8.3000000000000007</v>
      </c>
      <c r="AJ17" s="28">
        <v>8.9</v>
      </c>
      <c r="AK17" s="28">
        <v>8.1999999999999993</v>
      </c>
      <c r="AL17" s="28">
        <v>8.8000000000000007</v>
      </c>
      <c r="AM17" s="28">
        <v>8.6999999999999993</v>
      </c>
      <c r="AN17" s="28">
        <v>7.6</v>
      </c>
      <c r="AO17" s="28">
        <v>6.6</v>
      </c>
      <c r="AP17" s="30">
        <v>15.8924205378973</v>
      </c>
      <c r="AQ17" s="30">
        <v>10.4116222760291</v>
      </c>
      <c r="AR17" s="30">
        <v>7.2192513368983997</v>
      </c>
      <c r="AS17" s="30">
        <v>7.6219512195121997</v>
      </c>
      <c r="AT17" s="30">
        <v>7.8066914498141298</v>
      </c>
      <c r="AU17" s="30">
        <v>6.47482014388489</v>
      </c>
      <c r="AV17" s="30">
        <v>5.2</v>
      </c>
    </row>
    <row r="18" spans="1:48" x14ac:dyDescent="0.3">
      <c r="A18" s="24" t="s">
        <v>22</v>
      </c>
      <c r="B18" s="25"/>
      <c r="C18" s="26">
        <v>41</v>
      </c>
      <c r="D18" s="26">
        <v>44</v>
      </c>
      <c r="E18" s="26">
        <v>40</v>
      </c>
      <c r="F18" s="26">
        <v>25</v>
      </c>
      <c r="G18" s="26">
        <v>25</v>
      </c>
      <c r="H18" s="26">
        <v>25</v>
      </c>
      <c r="I18" s="26">
        <v>31</v>
      </c>
      <c r="J18" s="26"/>
      <c r="K18" s="26">
        <v>858672</v>
      </c>
      <c r="L18" s="26">
        <v>859553</v>
      </c>
      <c r="M18" s="26">
        <v>861482</v>
      </c>
      <c r="N18" s="26">
        <v>863354</v>
      </c>
      <c r="O18" s="26">
        <v>865141</v>
      </c>
      <c r="P18" s="26">
        <v>866023</v>
      </c>
      <c r="Q18" s="26">
        <v>867285</v>
      </c>
      <c r="R18" s="26">
        <v>0.10077282330701701</v>
      </c>
      <c r="S18" s="26">
        <f t="shared" si="0"/>
        <v>4.774815063260477E-2</v>
      </c>
      <c r="T18" s="26">
        <f t="shared" si="0"/>
        <v>5.1189397279748895E-2</v>
      </c>
      <c r="U18" s="26">
        <f t="shared" si="0"/>
        <v>4.6431614357583792E-2</v>
      </c>
      <c r="V18" s="26">
        <f t="shared" si="0"/>
        <v>2.8956835782309457E-2</v>
      </c>
      <c r="W18" s="26">
        <f t="shared" si="0"/>
        <v>2.8897023722144713E-2</v>
      </c>
      <c r="X18" s="26">
        <f t="shared" si="0"/>
        <v>2.8867593585851645E-2</v>
      </c>
      <c r="Y18" s="26">
        <f t="shared" si="0"/>
        <v>3.5743728993352819E-2</v>
      </c>
      <c r="Z18" s="27">
        <v>0.38100000000000001</v>
      </c>
      <c r="AA18" s="28">
        <v>0.36599999999999999</v>
      </c>
      <c r="AB18" s="28">
        <v>0.371</v>
      </c>
      <c r="AC18" s="28">
        <v>0.36599999999999999</v>
      </c>
      <c r="AD18" s="28">
        <v>0.34899999999999998</v>
      </c>
      <c r="AE18" s="28">
        <v>0.34699999999999998</v>
      </c>
      <c r="AF18" s="28">
        <v>0.35299999999999998</v>
      </c>
      <c r="AG18" s="28">
        <v>0.33200000000000002</v>
      </c>
      <c r="AH18" s="29">
        <v>8.9</v>
      </c>
      <c r="AI18" s="28">
        <v>10.5</v>
      </c>
      <c r="AJ18" s="28">
        <v>9.5</v>
      </c>
      <c r="AK18" s="28">
        <v>10.199999999999999</v>
      </c>
      <c r="AL18" s="28">
        <v>10.3</v>
      </c>
      <c r="AM18" s="28">
        <v>10.5</v>
      </c>
      <c r="AN18" s="28">
        <v>10.6</v>
      </c>
      <c r="AO18" s="28">
        <v>10.8</v>
      </c>
      <c r="AP18" s="30">
        <v>30.952380952380999</v>
      </c>
      <c r="AQ18" s="30">
        <v>11.363636363636401</v>
      </c>
      <c r="AR18" s="30">
        <v>15</v>
      </c>
      <c r="AS18" s="30">
        <v>8</v>
      </c>
      <c r="AT18" s="30">
        <v>23.076923076923102</v>
      </c>
      <c r="AU18" s="30">
        <v>24</v>
      </c>
      <c r="AV18" s="30">
        <v>47.058823529411796</v>
      </c>
    </row>
    <row r="19" spans="1:48" x14ac:dyDescent="0.3">
      <c r="A19" s="24" t="s">
        <v>23</v>
      </c>
      <c r="B19" s="25"/>
      <c r="C19" s="26">
        <v>58</v>
      </c>
      <c r="D19" s="26">
        <v>60</v>
      </c>
      <c r="E19" s="26">
        <v>54</v>
      </c>
      <c r="F19" s="26">
        <v>59</v>
      </c>
      <c r="G19" s="26">
        <v>59</v>
      </c>
      <c r="H19" s="26">
        <v>37</v>
      </c>
      <c r="I19" s="26">
        <v>46</v>
      </c>
      <c r="J19" s="26"/>
      <c r="K19" s="26">
        <v>958951</v>
      </c>
      <c r="L19" s="26">
        <v>966036</v>
      </c>
      <c r="M19" s="26">
        <v>972692</v>
      </c>
      <c r="N19" s="26">
        <v>981350</v>
      </c>
      <c r="O19" s="26">
        <v>990430</v>
      </c>
      <c r="P19" s="26">
        <v>998393</v>
      </c>
      <c r="Q19" s="26">
        <v>1007349</v>
      </c>
      <c r="R19" s="26">
        <v>5.9926322163908002E-2</v>
      </c>
      <c r="S19" s="26">
        <f t="shared" ref="S19:Y54" si="1">C19/K19*1000</f>
        <v>6.0482756678912682E-2</v>
      </c>
      <c r="T19" s="26">
        <f t="shared" si="1"/>
        <v>6.2109486602983738E-2</v>
      </c>
      <c r="U19" s="26">
        <f t="shared" si="1"/>
        <v>5.5516031796293171E-2</v>
      </c>
      <c r="V19" s="26">
        <f t="shared" si="1"/>
        <v>6.0121261527487646E-2</v>
      </c>
      <c r="W19" s="26">
        <f t="shared" si="1"/>
        <v>5.9570085720343689E-2</v>
      </c>
      <c r="X19" s="26">
        <f t="shared" si="1"/>
        <v>3.705955470440999E-2</v>
      </c>
      <c r="Y19" s="26">
        <f t="shared" si="1"/>
        <v>4.5664412234488742E-2</v>
      </c>
      <c r="Z19" s="27">
        <v>0.39100000000000001</v>
      </c>
      <c r="AA19" s="28">
        <v>0.38200000000000001</v>
      </c>
      <c r="AB19" s="28">
        <v>0.38400000000000001</v>
      </c>
      <c r="AC19" s="28">
        <v>0.36899999999999999</v>
      </c>
      <c r="AD19" s="28">
        <v>0.36299999999999999</v>
      </c>
      <c r="AE19" s="28">
        <v>0.35699999999999998</v>
      </c>
      <c r="AF19" s="28">
        <v>0.35699999999999998</v>
      </c>
      <c r="AG19" s="28">
        <v>0.35799999999999998</v>
      </c>
      <c r="AH19" s="28">
        <v>7.4</v>
      </c>
      <c r="AI19" s="28">
        <v>5.6</v>
      </c>
      <c r="AJ19" s="28">
        <v>5.4</v>
      </c>
      <c r="AK19" s="28">
        <v>5.7</v>
      </c>
      <c r="AL19" s="28">
        <v>5.9</v>
      </c>
      <c r="AM19" s="28">
        <v>5.2</v>
      </c>
      <c r="AN19" s="28">
        <v>4.5999999999999996</v>
      </c>
      <c r="AO19" s="28">
        <v>4.5</v>
      </c>
      <c r="AP19" s="30">
        <v>13.3333333333333</v>
      </c>
      <c r="AQ19" s="30">
        <v>10</v>
      </c>
      <c r="AR19" s="30">
        <v>7.2727272727272698</v>
      </c>
      <c r="AS19" s="30">
        <v>11.864406779661</v>
      </c>
      <c r="AT19" s="30">
        <v>3.3898305084745801</v>
      </c>
      <c r="AU19" s="30">
        <v>5.2631578947368398</v>
      </c>
      <c r="AV19" s="30">
        <v>2.1739130434782599</v>
      </c>
    </row>
    <row r="20" spans="1:48" x14ac:dyDescent="0.3">
      <c r="A20" s="24" t="s">
        <v>24</v>
      </c>
      <c r="B20" s="25"/>
      <c r="C20" s="26">
        <v>87</v>
      </c>
      <c r="D20" s="26">
        <v>80</v>
      </c>
      <c r="E20" s="26">
        <v>82</v>
      </c>
      <c r="F20" s="26">
        <v>69</v>
      </c>
      <c r="G20" s="26">
        <v>67</v>
      </c>
      <c r="H20" s="26">
        <v>62</v>
      </c>
      <c r="I20" s="26">
        <v>48</v>
      </c>
      <c r="J20" s="26"/>
      <c r="K20" s="26">
        <v>1005065</v>
      </c>
      <c r="L20" s="26">
        <v>1007515</v>
      </c>
      <c r="M20" s="26">
        <v>1010129</v>
      </c>
      <c r="N20" s="26">
        <v>1012171</v>
      </c>
      <c r="O20" s="26">
        <v>1013363</v>
      </c>
      <c r="P20" s="26">
        <v>1010768</v>
      </c>
      <c r="Q20" s="26">
        <v>1005978</v>
      </c>
      <c r="R20" s="26">
        <v>9.1606572426815705E-2</v>
      </c>
      <c r="S20" s="26">
        <f t="shared" si="1"/>
        <v>8.6561565669882046E-2</v>
      </c>
      <c r="T20" s="26">
        <f t="shared" si="1"/>
        <v>7.9403284318347617E-2</v>
      </c>
      <c r="U20" s="26">
        <f t="shared" si="1"/>
        <v>8.1177750564531859E-2</v>
      </c>
      <c r="V20" s="26">
        <f t="shared" si="1"/>
        <v>6.8170299287373379E-2</v>
      </c>
      <c r="W20" s="26">
        <f t="shared" si="1"/>
        <v>6.6116485405525963E-2</v>
      </c>
      <c r="X20" s="26">
        <f t="shared" si="1"/>
        <v>6.1339496303800672E-2</v>
      </c>
      <c r="Y20" s="26">
        <f t="shared" si="1"/>
        <v>4.7714761157798678E-2</v>
      </c>
      <c r="Z20" s="28">
        <v>0.4</v>
      </c>
      <c r="AA20" s="28">
        <v>0.38800000000000001</v>
      </c>
      <c r="AB20" s="28">
        <v>0.38300000000000001</v>
      </c>
      <c r="AC20" s="28">
        <v>0.372</v>
      </c>
      <c r="AD20" s="28">
        <v>0.373</v>
      </c>
      <c r="AE20" s="28">
        <v>0.36</v>
      </c>
      <c r="AF20" s="28">
        <v>0.35299999999999998</v>
      </c>
      <c r="AG20" s="28">
        <v>0.35599999999999998</v>
      </c>
      <c r="AH20" s="32">
        <v>4.3</v>
      </c>
      <c r="AI20" s="28">
        <v>4.5</v>
      </c>
      <c r="AJ20" s="28">
        <v>4.2</v>
      </c>
      <c r="AK20" s="28">
        <v>4.3</v>
      </c>
      <c r="AL20" s="28">
        <v>4.2</v>
      </c>
      <c r="AM20" s="28">
        <v>4</v>
      </c>
      <c r="AN20" s="28">
        <v>3.9</v>
      </c>
      <c r="AO20" s="28">
        <v>3.7</v>
      </c>
      <c r="AP20" s="30">
        <v>13.7931034482759</v>
      </c>
      <c r="AQ20" s="30">
        <v>11.25</v>
      </c>
      <c r="AR20" s="30">
        <v>7.3170731707317103</v>
      </c>
      <c r="AS20" s="30">
        <v>7.1428571428571397</v>
      </c>
      <c r="AT20" s="30">
        <v>8.8235294117647101</v>
      </c>
      <c r="AU20" s="30">
        <v>4.6875</v>
      </c>
      <c r="AV20" s="30">
        <v>0</v>
      </c>
    </row>
    <row r="21" spans="1:48" x14ac:dyDescent="0.3">
      <c r="A21" s="24" t="s">
        <v>25</v>
      </c>
      <c r="B21" s="25"/>
      <c r="C21" s="26">
        <v>33</v>
      </c>
      <c r="D21" s="26">
        <v>32</v>
      </c>
      <c r="E21" s="26">
        <v>39</v>
      </c>
      <c r="F21" s="26">
        <v>33</v>
      </c>
      <c r="G21" s="26">
        <v>27</v>
      </c>
      <c r="H21" s="26">
        <v>32</v>
      </c>
      <c r="I21" s="26">
        <v>25</v>
      </c>
      <c r="J21" s="26"/>
      <c r="K21" s="26">
        <v>320207</v>
      </c>
      <c r="L21" s="26">
        <v>318567</v>
      </c>
      <c r="M21" s="26">
        <v>316693</v>
      </c>
      <c r="N21" s="26">
        <v>315422</v>
      </c>
      <c r="O21" s="26">
        <v>315143</v>
      </c>
      <c r="P21" s="26">
        <v>315140</v>
      </c>
      <c r="Q21" s="26">
        <v>313869</v>
      </c>
      <c r="R21" s="26">
        <v>7.8736685626460606E-2</v>
      </c>
      <c r="S21" s="26">
        <f t="shared" si="1"/>
        <v>0.10305833414010312</v>
      </c>
      <c r="T21" s="26">
        <f t="shared" si="1"/>
        <v>0.10044982688100149</v>
      </c>
      <c r="U21" s="26">
        <f t="shared" si="1"/>
        <v>0.12314765403719058</v>
      </c>
      <c r="V21" s="26">
        <f t="shared" si="1"/>
        <v>0.10462174483707541</v>
      </c>
      <c r="W21" s="26">
        <f t="shared" si="1"/>
        <v>8.5675391806259368E-2</v>
      </c>
      <c r="X21" s="26">
        <f t="shared" si="1"/>
        <v>0.10154217173319795</v>
      </c>
      <c r="Y21" s="26">
        <f t="shared" si="1"/>
        <v>7.9651064616129655E-2</v>
      </c>
      <c r="Z21" s="27">
        <v>0.38400000000000001</v>
      </c>
      <c r="AA21" s="28">
        <v>0.38400000000000001</v>
      </c>
      <c r="AB21" s="28">
        <v>0.38600000000000001</v>
      </c>
      <c r="AC21" s="28">
        <v>0.372</v>
      </c>
      <c r="AD21" s="28">
        <v>0.36599999999999999</v>
      </c>
      <c r="AE21" s="28">
        <v>0.36599999999999999</v>
      </c>
      <c r="AF21" s="28">
        <v>0.38</v>
      </c>
      <c r="AG21" s="33">
        <v>0.38100000000000001</v>
      </c>
      <c r="AH21" s="19">
        <v>5.8</v>
      </c>
      <c r="AI21" s="34">
        <v>5.7</v>
      </c>
      <c r="AJ21" s="28">
        <v>6.1</v>
      </c>
      <c r="AK21" s="28">
        <v>4.4000000000000004</v>
      </c>
      <c r="AL21" s="28">
        <v>4.0999999999999996</v>
      </c>
      <c r="AM21" s="28">
        <v>4.2</v>
      </c>
      <c r="AN21" s="28">
        <v>4.9000000000000004</v>
      </c>
      <c r="AO21" s="28">
        <v>3.8</v>
      </c>
      <c r="AP21" s="30">
        <v>3.0303030303030298</v>
      </c>
      <c r="AQ21" s="30">
        <v>9.375</v>
      </c>
      <c r="AR21" s="30">
        <v>4.8780487804878003</v>
      </c>
      <c r="AS21" s="30">
        <v>11.764705882352899</v>
      </c>
      <c r="AT21" s="30">
        <v>10.714285714285699</v>
      </c>
      <c r="AU21" s="30">
        <v>0</v>
      </c>
      <c r="AV21" s="30">
        <v>0</v>
      </c>
    </row>
    <row r="22" spans="1:48" x14ac:dyDescent="0.3">
      <c r="A22" s="24" t="s">
        <v>26</v>
      </c>
      <c r="B22" s="25"/>
      <c r="C22" s="26">
        <v>58</v>
      </c>
      <c r="D22" s="26">
        <v>49</v>
      </c>
      <c r="E22" s="26">
        <v>40</v>
      </c>
      <c r="F22" s="26">
        <v>26</v>
      </c>
      <c r="G22" s="26">
        <v>30</v>
      </c>
      <c r="H22" s="26">
        <v>27</v>
      </c>
      <c r="I22" s="26">
        <v>18</v>
      </c>
      <c r="J22" s="26"/>
      <c r="K22" s="26">
        <v>470842</v>
      </c>
      <c r="L22" s="26">
        <v>469449</v>
      </c>
      <c r="M22" s="26">
        <v>468429</v>
      </c>
      <c r="N22" s="26">
        <v>467115</v>
      </c>
      <c r="O22" s="26">
        <v>466369</v>
      </c>
      <c r="P22" s="26">
        <v>465934</v>
      </c>
      <c r="Q22" s="26">
        <v>465546</v>
      </c>
      <c r="R22" s="26">
        <v>0.11402749329560601</v>
      </c>
      <c r="S22" s="26">
        <f t="shared" si="1"/>
        <v>0.12318357325812057</v>
      </c>
      <c r="T22" s="26">
        <f t="shared" si="1"/>
        <v>0.10437768532897077</v>
      </c>
      <c r="U22" s="26">
        <f t="shared" si="1"/>
        <v>8.5391809644577946E-2</v>
      </c>
      <c r="V22" s="26">
        <f t="shared" si="1"/>
        <v>5.5660811577448809E-2</v>
      </c>
      <c r="W22" s="26">
        <f t="shared" si="1"/>
        <v>6.4326745559846382E-2</v>
      </c>
      <c r="X22" s="26">
        <f t="shared" si="1"/>
        <v>5.7948121407753024E-2</v>
      </c>
      <c r="Y22" s="26">
        <f t="shared" si="1"/>
        <v>3.86642780734879E-2</v>
      </c>
      <c r="Z22" s="27">
        <v>0.375</v>
      </c>
      <c r="AA22" s="28">
        <v>0.36399999999999999</v>
      </c>
      <c r="AB22" s="28">
        <v>0.372</v>
      </c>
      <c r="AC22" s="28">
        <v>0.36399999999999999</v>
      </c>
      <c r="AD22" s="28">
        <v>0.36199999999999999</v>
      </c>
      <c r="AE22" s="28">
        <v>0.35399999999999998</v>
      </c>
      <c r="AF22" s="28">
        <v>0.34399999999999997</v>
      </c>
      <c r="AG22" s="28">
        <v>0.34</v>
      </c>
      <c r="AH22" s="29">
        <v>8.9</v>
      </c>
      <c r="AI22" s="28">
        <v>9.8000000000000007</v>
      </c>
      <c r="AJ22" s="28">
        <v>13.1</v>
      </c>
      <c r="AK22" s="28">
        <v>15.2</v>
      </c>
      <c r="AL22" s="28">
        <v>14.5</v>
      </c>
      <c r="AM22" s="28">
        <v>13.6</v>
      </c>
      <c r="AN22" s="28">
        <v>12.2</v>
      </c>
      <c r="AO22" s="28">
        <v>11.8</v>
      </c>
      <c r="AP22" s="30">
        <v>13.3333333333333</v>
      </c>
      <c r="AQ22" s="30">
        <v>20</v>
      </c>
      <c r="AR22" s="30">
        <v>14.634146341463399</v>
      </c>
      <c r="AS22" s="30">
        <v>19.230769230769202</v>
      </c>
      <c r="AT22" s="30">
        <v>13.3333333333333</v>
      </c>
      <c r="AU22" s="30">
        <v>30</v>
      </c>
      <c r="AV22" s="30">
        <v>47.368421052631597</v>
      </c>
    </row>
    <row r="23" spans="1:48" x14ac:dyDescent="0.3">
      <c r="A23" s="24" t="s">
        <v>27</v>
      </c>
      <c r="B23" s="25"/>
      <c r="C23" s="26">
        <v>354</v>
      </c>
      <c r="D23" s="26">
        <v>399</v>
      </c>
      <c r="E23" s="26">
        <v>342</v>
      </c>
      <c r="F23" s="26">
        <v>297</v>
      </c>
      <c r="G23" s="26">
        <v>296</v>
      </c>
      <c r="H23" s="26">
        <v>210</v>
      </c>
      <c r="I23" s="26">
        <v>186</v>
      </c>
      <c r="J23" s="26"/>
      <c r="K23" s="26">
        <v>2738262</v>
      </c>
      <c r="L23" s="26">
        <v>2729533</v>
      </c>
      <c r="M23" s="26">
        <v>2721309</v>
      </c>
      <c r="N23" s="26">
        <v>2713235</v>
      </c>
      <c r="O23" s="26">
        <v>2701860</v>
      </c>
      <c r="P23" s="26">
        <v>2684566</v>
      </c>
      <c r="Q23" s="26">
        <v>2666055</v>
      </c>
      <c r="R23" s="26">
        <v>0.14317299779120099</v>
      </c>
      <c r="S23" s="26">
        <f t="shared" si="1"/>
        <v>0.12927908286350978</v>
      </c>
      <c r="T23" s="26">
        <f t="shared" si="1"/>
        <v>0.1461788518402232</v>
      </c>
      <c r="U23" s="26">
        <f t="shared" si="1"/>
        <v>0.12567481311383602</v>
      </c>
      <c r="V23" s="26">
        <f t="shared" si="1"/>
        <v>0.10946342650010044</v>
      </c>
      <c r="W23" s="26">
        <f t="shared" si="1"/>
        <v>0.10955415898677208</v>
      </c>
      <c r="X23" s="26">
        <f t="shared" si="1"/>
        <v>7.8224934682179545E-2</v>
      </c>
      <c r="Y23" s="26">
        <f t="shared" si="1"/>
        <v>6.9766002576841069E-2</v>
      </c>
      <c r="Z23" s="27">
        <v>0.40699999999999997</v>
      </c>
      <c r="AA23" s="28">
        <v>0.39100000000000001</v>
      </c>
      <c r="AB23" s="28">
        <v>0.376</v>
      </c>
      <c r="AC23" s="28">
        <v>0.37</v>
      </c>
      <c r="AD23" s="28">
        <v>0.35899999999999999</v>
      </c>
      <c r="AE23" s="28">
        <v>0.35399999999999998</v>
      </c>
      <c r="AF23" s="28">
        <v>0.35699999999999998</v>
      </c>
      <c r="AG23" s="28">
        <v>0.35199999999999998</v>
      </c>
      <c r="AH23" s="28">
        <v>7.1</v>
      </c>
      <c r="AI23" s="28">
        <v>6</v>
      </c>
      <c r="AJ23" s="28">
        <v>6.2</v>
      </c>
      <c r="AK23" s="28">
        <v>7.7</v>
      </c>
      <c r="AL23" s="28">
        <v>7.9</v>
      </c>
      <c r="AM23" s="28">
        <v>7.1</v>
      </c>
      <c r="AN23" s="28">
        <v>6.2</v>
      </c>
      <c r="AO23" s="28">
        <v>5.5</v>
      </c>
      <c r="AP23" s="30">
        <v>14.245810055865901</v>
      </c>
      <c r="AQ23" s="30">
        <v>11.881188118811901</v>
      </c>
      <c r="AR23" s="30">
        <v>13.119533527696801</v>
      </c>
      <c r="AS23" s="30">
        <v>12.416107382550299</v>
      </c>
      <c r="AT23" s="30">
        <v>12.582781456953599</v>
      </c>
      <c r="AU23" s="30">
        <v>9.9056603773584904</v>
      </c>
      <c r="AV23" s="30">
        <v>4.8387096774193497</v>
      </c>
    </row>
    <row r="24" spans="1:48" x14ac:dyDescent="0.3">
      <c r="A24" s="24" t="s">
        <v>28</v>
      </c>
      <c r="B24" s="25"/>
      <c r="C24" s="26">
        <v>107</v>
      </c>
      <c r="D24" s="26">
        <v>93</v>
      </c>
      <c r="E24" s="26">
        <v>89</v>
      </c>
      <c r="F24" s="26">
        <v>90</v>
      </c>
      <c r="G24" s="26">
        <v>103</v>
      </c>
      <c r="H24" s="26">
        <v>67</v>
      </c>
      <c r="I24" s="26">
        <v>78</v>
      </c>
      <c r="J24" s="26"/>
      <c r="K24" s="26">
        <v>1315003</v>
      </c>
      <c r="L24" s="26">
        <v>1307639</v>
      </c>
      <c r="M24" s="26">
        <v>1300911</v>
      </c>
      <c r="N24" s="26">
        <v>1294579</v>
      </c>
      <c r="O24" s="26">
        <v>1287461</v>
      </c>
      <c r="P24" s="26">
        <v>1277673</v>
      </c>
      <c r="Q24" s="26">
        <v>1267255</v>
      </c>
      <c r="R24" s="26">
        <v>7.8559568364748297E-2</v>
      </c>
      <c r="S24" s="26">
        <f t="shared" si="1"/>
        <v>8.136863566090724E-2</v>
      </c>
      <c r="T24" s="26">
        <f t="shared" si="1"/>
        <v>7.1120546266974297E-2</v>
      </c>
      <c r="U24" s="26">
        <f t="shared" si="1"/>
        <v>6.8413596318272346E-2</v>
      </c>
      <c r="V24" s="26">
        <f t="shared" si="1"/>
        <v>6.9520670426447509E-2</v>
      </c>
      <c r="W24" s="26">
        <f t="shared" si="1"/>
        <v>8.0002423374377934E-2</v>
      </c>
      <c r="X24" s="26">
        <f t="shared" si="1"/>
        <v>5.2439082613469953E-2</v>
      </c>
      <c r="Y24" s="26">
        <f t="shared" si="1"/>
        <v>6.1550358846483147E-2</v>
      </c>
      <c r="Z24" s="27">
        <v>0.379</v>
      </c>
      <c r="AA24" s="28">
        <v>0.36599999999999999</v>
      </c>
      <c r="AB24" s="28">
        <v>0.36899999999999999</v>
      </c>
      <c r="AC24" s="28">
        <v>0.35399999999999998</v>
      </c>
      <c r="AD24" s="28">
        <v>0.35399999999999998</v>
      </c>
      <c r="AE24" s="28">
        <v>0.35</v>
      </c>
      <c r="AF24" s="28">
        <v>0.34899999999999998</v>
      </c>
      <c r="AG24" s="28">
        <v>0.34899999999999998</v>
      </c>
      <c r="AH24" s="28">
        <v>7.1</v>
      </c>
      <c r="AI24" s="28">
        <v>5.6</v>
      </c>
      <c r="AJ24" s="28">
        <v>5</v>
      </c>
      <c r="AK24" s="28">
        <v>5.3</v>
      </c>
      <c r="AL24" s="28">
        <v>5.4</v>
      </c>
      <c r="AM24" s="28">
        <v>5.3</v>
      </c>
      <c r="AN24" s="28">
        <v>5.0999999999999996</v>
      </c>
      <c r="AO24" s="28">
        <v>4.7</v>
      </c>
      <c r="AP24" s="30">
        <v>6.3063063063063103</v>
      </c>
      <c r="AQ24" s="30">
        <v>7.3684210526315796</v>
      </c>
      <c r="AR24" s="30">
        <v>6.5217391304347796</v>
      </c>
      <c r="AS24" s="30">
        <v>8.6021505376344098</v>
      </c>
      <c r="AT24" s="30">
        <v>7.5471698113207504</v>
      </c>
      <c r="AU24" s="30">
        <v>7.4626865671641802</v>
      </c>
      <c r="AV24" s="30">
        <v>6.25</v>
      </c>
    </row>
    <row r="25" spans="1:48" x14ac:dyDescent="0.3">
      <c r="A25" s="24" t="s">
        <v>29</v>
      </c>
      <c r="B25" s="25"/>
      <c r="C25" s="26">
        <v>37</v>
      </c>
      <c r="D25" s="26">
        <v>37</v>
      </c>
      <c r="E25" s="26">
        <v>40</v>
      </c>
      <c r="F25" s="26">
        <v>27</v>
      </c>
      <c r="G25" s="26">
        <v>26</v>
      </c>
      <c r="H25" s="26">
        <v>21</v>
      </c>
      <c r="I25" s="26">
        <v>31</v>
      </c>
      <c r="J25" s="26"/>
      <c r="K25" s="26">
        <v>657648</v>
      </c>
      <c r="L25" s="26">
        <v>655390</v>
      </c>
      <c r="M25" s="26">
        <v>652920</v>
      </c>
      <c r="N25" s="26">
        <v>649804</v>
      </c>
      <c r="O25" s="26">
        <v>645741</v>
      </c>
      <c r="P25" s="26">
        <v>640296</v>
      </c>
      <c r="Q25" s="26">
        <v>635326</v>
      </c>
      <c r="R25" s="26">
        <v>7.1820967138087305E-2</v>
      </c>
      <c r="S25" s="26">
        <f t="shared" si="1"/>
        <v>5.6261100163005132E-2</v>
      </c>
      <c r="T25" s="26">
        <f t="shared" si="1"/>
        <v>5.6454935229405395E-2</v>
      </c>
      <c r="U25" s="26">
        <f t="shared" si="1"/>
        <v>6.1263248177418364E-2</v>
      </c>
      <c r="V25" s="26">
        <f t="shared" si="1"/>
        <v>4.1550990760290799E-2</v>
      </c>
      <c r="W25" s="26">
        <f t="shared" si="1"/>
        <v>4.0263820943691048E-2</v>
      </c>
      <c r="X25" s="26">
        <f t="shared" si="1"/>
        <v>3.2797331234304138E-2</v>
      </c>
      <c r="Y25" s="26">
        <f t="shared" si="1"/>
        <v>4.8793847568020195E-2</v>
      </c>
      <c r="Z25" s="28">
        <v>0.371</v>
      </c>
      <c r="AA25" s="28">
        <v>0.35499999999999998</v>
      </c>
      <c r="AB25" s="28">
        <v>0.36099999999999999</v>
      </c>
      <c r="AC25" s="28">
        <v>0.35399999999999998</v>
      </c>
      <c r="AD25" s="28">
        <v>0.36099999999999999</v>
      </c>
      <c r="AE25" s="28">
        <v>0.36</v>
      </c>
      <c r="AF25" s="28">
        <v>0.34599999999999997</v>
      </c>
      <c r="AG25" s="28">
        <v>0.34799999999999998</v>
      </c>
      <c r="AH25" s="28">
        <v>4.8</v>
      </c>
      <c r="AI25" s="28">
        <v>4.9000000000000004</v>
      </c>
      <c r="AJ25" s="28">
        <v>4.3</v>
      </c>
      <c r="AK25" s="28">
        <v>5.3</v>
      </c>
      <c r="AL25" s="28">
        <v>5.5</v>
      </c>
      <c r="AM25" s="28">
        <v>5.3</v>
      </c>
      <c r="AN25" s="28">
        <v>4.5</v>
      </c>
      <c r="AO25" s="28">
        <v>4</v>
      </c>
      <c r="AP25" s="30">
        <v>12.5</v>
      </c>
      <c r="AQ25" s="30">
        <v>7.6923076923076898</v>
      </c>
      <c r="AR25" s="30">
        <v>10</v>
      </c>
      <c r="AS25" s="30">
        <v>6.8965517241379297</v>
      </c>
      <c r="AT25" s="30">
        <v>6.8965517241379297</v>
      </c>
      <c r="AU25" s="30">
        <v>9.0909090909090899</v>
      </c>
      <c r="AV25" s="30">
        <v>6.4516129032258096</v>
      </c>
    </row>
    <row r="26" spans="1:48" x14ac:dyDescent="0.3">
      <c r="A26" s="24" t="s">
        <v>30</v>
      </c>
      <c r="B26" s="25"/>
      <c r="C26" s="26">
        <v>345</v>
      </c>
      <c r="D26" s="26">
        <v>304</v>
      </c>
      <c r="E26" s="26">
        <v>307</v>
      </c>
      <c r="F26" s="26">
        <v>277</v>
      </c>
      <c r="G26" s="26">
        <v>273</v>
      </c>
      <c r="H26" s="26">
        <v>245</v>
      </c>
      <c r="I26" s="26">
        <v>215</v>
      </c>
      <c r="J26" s="26"/>
      <c r="K26" s="26">
        <v>5367227</v>
      </c>
      <c r="L26" s="26">
        <v>5428801</v>
      </c>
      <c r="M26" s="26">
        <v>5483566</v>
      </c>
      <c r="N26" s="26">
        <v>5542374</v>
      </c>
      <c r="O26" s="26">
        <v>5587182</v>
      </c>
      <c r="P26" s="26">
        <v>5625827</v>
      </c>
      <c r="Q26" s="26">
        <v>5661848</v>
      </c>
      <c r="R26" s="26">
        <v>6.66463035613344E-2</v>
      </c>
      <c r="S26" s="26">
        <f t="shared" si="1"/>
        <v>6.4279002919011993E-2</v>
      </c>
      <c r="T26" s="26">
        <f t="shared" si="1"/>
        <v>5.5997631889619821E-2</v>
      </c>
      <c r="U26" s="26">
        <f t="shared" si="1"/>
        <v>5.59854663917604E-2</v>
      </c>
      <c r="V26" s="26">
        <f t="shared" si="1"/>
        <v>4.9978583184750798E-2</v>
      </c>
      <c r="W26" s="26">
        <f t="shared" si="1"/>
        <v>4.8861841264522976E-2</v>
      </c>
      <c r="X26" s="26">
        <f t="shared" si="1"/>
        <v>4.3549152862325843E-2</v>
      </c>
      <c r="Y26" s="26">
        <f t="shared" si="1"/>
        <v>3.797346732021064E-2</v>
      </c>
      <c r="Z26" s="27">
        <v>0.42</v>
      </c>
      <c r="AA26" s="28">
        <v>0.41899999999999998</v>
      </c>
      <c r="AB26" s="28">
        <v>0.41899999999999998</v>
      </c>
      <c r="AC26" s="28">
        <v>0.41199999999999998</v>
      </c>
      <c r="AD26" s="28">
        <v>0.41299999999999998</v>
      </c>
      <c r="AE26" s="28">
        <v>0.40200000000000002</v>
      </c>
      <c r="AF26" s="28">
        <v>0.40200000000000002</v>
      </c>
      <c r="AG26" s="28">
        <v>0.4</v>
      </c>
      <c r="AH26" s="28">
        <v>5.6</v>
      </c>
      <c r="AI26" s="28">
        <v>6.1</v>
      </c>
      <c r="AJ26" s="28">
        <v>5.7</v>
      </c>
      <c r="AK26" s="28">
        <v>6</v>
      </c>
      <c r="AL26" s="28">
        <v>5.8</v>
      </c>
      <c r="AM26" s="28">
        <v>5.7</v>
      </c>
      <c r="AN26" s="28">
        <v>5.2</v>
      </c>
      <c r="AO26" s="28">
        <v>4.8</v>
      </c>
      <c r="AP26" s="30">
        <v>12.535612535612501</v>
      </c>
      <c r="AQ26" s="30">
        <v>13.6807817589577</v>
      </c>
      <c r="AR26" s="30">
        <v>12.580645161290301</v>
      </c>
      <c r="AS26" s="30">
        <v>8.21428571428571</v>
      </c>
      <c r="AT26" s="30">
        <v>6.5217391304347796</v>
      </c>
      <c r="AU26" s="30">
        <v>5.6680161943319796</v>
      </c>
      <c r="AV26" s="30">
        <v>6.0465116279069804</v>
      </c>
    </row>
    <row r="27" spans="1:48" x14ac:dyDescent="0.3">
      <c r="A27" s="24" t="s">
        <v>31</v>
      </c>
      <c r="B27" s="25"/>
      <c r="C27" s="26">
        <v>324</v>
      </c>
      <c r="D27" s="26">
        <v>319</v>
      </c>
      <c r="E27" s="26">
        <v>308</v>
      </c>
      <c r="F27" s="26">
        <v>333</v>
      </c>
      <c r="G27" s="26">
        <v>287</v>
      </c>
      <c r="H27" s="26">
        <v>271</v>
      </c>
      <c r="I27" s="26">
        <v>229</v>
      </c>
      <c r="J27" s="26"/>
      <c r="K27" s="26">
        <v>2849642</v>
      </c>
      <c r="L27" s="26">
        <v>2855791</v>
      </c>
      <c r="M27" s="26">
        <v>2862631</v>
      </c>
      <c r="N27" s="26">
        <v>2870895</v>
      </c>
      <c r="O27" s="26">
        <v>2875899</v>
      </c>
      <c r="P27" s="26">
        <v>2875261</v>
      </c>
      <c r="Q27" s="26">
        <v>2870140</v>
      </c>
      <c r="R27" s="26">
        <v>0.13083154348513401</v>
      </c>
      <c r="S27" s="26">
        <f t="shared" si="1"/>
        <v>0.1136984926527613</v>
      </c>
      <c r="T27" s="26">
        <f t="shared" si="1"/>
        <v>0.11170285220452057</v>
      </c>
      <c r="U27" s="26">
        <f t="shared" si="1"/>
        <v>0.1075933293533117</v>
      </c>
      <c r="V27" s="26">
        <f t="shared" si="1"/>
        <v>0.11599170293584404</v>
      </c>
      <c r="W27" s="26">
        <f t="shared" si="1"/>
        <v>9.9794881530957794E-2</v>
      </c>
      <c r="X27" s="26">
        <f t="shared" si="1"/>
        <v>9.4252313094359094E-2</v>
      </c>
      <c r="Y27" s="26">
        <f t="shared" si="1"/>
        <v>7.9787048715393674E-2</v>
      </c>
      <c r="Z27" s="27">
        <v>0.42399999999999999</v>
      </c>
      <c r="AA27" s="28">
        <v>0.41899999999999998</v>
      </c>
      <c r="AB27" s="28">
        <v>0.40600000000000003</v>
      </c>
      <c r="AC27" s="28">
        <v>0.39800000000000002</v>
      </c>
      <c r="AD27" s="28">
        <v>0.39700000000000002</v>
      </c>
      <c r="AE27" s="28">
        <v>0.39100000000000001</v>
      </c>
      <c r="AF27" s="28">
        <v>0.39100000000000001</v>
      </c>
      <c r="AG27" s="28">
        <v>0.38900000000000001</v>
      </c>
      <c r="AH27" s="28">
        <v>5.5</v>
      </c>
      <c r="AI27" s="28">
        <v>5.7</v>
      </c>
      <c r="AJ27" s="28">
        <v>5</v>
      </c>
      <c r="AK27" s="28">
        <v>6.2</v>
      </c>
      <c r="AL27" s="28">
        <v>6.1</v>
      </c>
      <c r="AM27" s="28">
        <v>5.7</v>
      </c>
      <c r="AN27" s="28">
        <v>4.9000000000000004</v>
      </c>
      <c r="AO27" s="28">
        <v>4.5</v>
      </c>
      <c r="AP27" s="30">
        <v>8.2568807339449606</v>
      </c>
      <c r="AQ27" s="30">
        <v>6.875</v>
      </c>
      <c r="AR27" s="30">
        <v>6.3291139240506302</v>
      </c>
      <c r="AS27" s="30">
        <v>5.32544378698225</v>
      </c>
      <c r="AT27" s="30">
        <v>5.2083333333333304</v>
      </c>
      <c r="AU27" s="30">
        <v>4.0145985401459896</v>
      </c>
      <c r="AV27" s="30">
        <v>9.4827586206896495</v>
      </c>
    </row>
    <row r="28" spans="1:48" x14ac:dyDescent="0.3">
      <c r="A28" s="24" t="s">
        <v>32</v>
      </c>
      <c r="B28" s="25"/>
      <c r="C28" s="26">
        <v>128</v>
      </c>
      <c r="D28" s="26">
        <v>139</v>
      </c>
      <c r="E28" s="26">
        <v>136</v>
      </c>
      <c r="F28" s="26">
        <v>95</v>
      </c>
      <c r="G28" s="26">
        <v>104</v>
      </c>
      <c r="H28" s="26">
        <v>94</v>
      </c>
      <c r="I28" s="26">
        <v>97</v>
      </c>
      <c r="J28" s="26"/>
      <c r="K28" s="26">
        <v>881454</v>
      </c>
      <c r="L28" s="26">
        <v>873482</v>
      </c>
      <c r="M28" s="26">
        <v>865855</v>
      </c>
      <c r="N28" s="26">
        <v>858002</v>
      </c>
      <c r="O28" s="26">
        <v>849823</v>
      </c>
      <c r="P28" s="26">
        <v>840119</v>
      </c>
      <c r="Q28" s="26">
        <v>830934</v>
      </c>
      <c r="R28" s="26">
        <v>0.16809453004605099</v>
      </c>
      <c r="S28" s="26">
        <f t="shared" si="1"/>
        <v>0.14521461131267202</v>
      </c>
      <c r="T28" s="26">
        <f t="shared" si="1"/>
        <v>0.15913321625402699</v>
      </c>
      <c r="U28" s="26">
        <f t="shared" si="1"/>
        <v>0.15707017918704633</v>
      </c>
      <c r="V28" s="26">
        <f t="shared" si="1"/>
        <v>0.11072235262854865</v>
      </c>
      <c r="W28" s="26">
        <f t="shared" si="1"/>
        <v>0.12237842468372825</v>
      </c>
      <c r="X28" s="26">
        <f t="shared" si="1"/>
        <v>0.11188891097570701</v>
      </c>
      <c r="Y28" s="26">
        <f t="shared" si="1"/>
        <v>0.1167361065981173</v>
      </c>
      <c r="Z28" s="27">
        <v>0.4</v>
      </c>
      <c r="AA28" s="28">
        <v>0.39200000000000002</v>
      </c>
      <c r="AB28" s="28">
        <v>0.38200000000000001</v>
      </c>
      <c r="AC28" s="28">
        <v>0.36699999999999999</v>
      </c>
      <c r="AD28" s="28">
        <v>0.36399999999999999</v>
      </c>
      <c r="AE28" s="28">
        <v>0.36299999999999999</v>
      </c>
      <c r="AF28" s="28">
        <v>0.35699999999999998</v>
      </c>
      <c r="AG28" s="28">
        <v>0.35799999999999998</v>
      </c>
      <c r="AH28" s="28">
        <v>8.6999999999999993</v>
      </c>
      <c r="AI28" s="28">
        <v>7.5</v>
      </c>
      <c r="AJ28" s="28">
        <v>7</v>
      </c>
      <c r="AK28" s="28">
        <v>7.5</v>
      </c>
      <c r="AL28" s="28">
        <v>8.3000000000000007</v>
      </c>
      <c r="AM28" s="28">
        <v>9</v>
      </c>
      <c r="AN28" s="28">
        <v>7.9</v>
      </c>
      <c r="AO28" s="28">
        <v>7.7</v>
      </c>
      <c r="AP28" s="30">
        <v>11.6279069767442</v>
      </c>
      <c r="AQ28" s="30">
        <v>10</v>
      </c>
      <c r="AR28" s="30">
        <v>9.5588235294117592</v>
      </c>
      <c r="AS28" s="30">
        <v>8.4210526315789505</v>
      </c>
      <c r="AT28" s="30">
        <v>8.6538461538461497</v>
      </c>
      <c r="AU28" s="30">
        <v>6.3829787234042596</v>
      </c>
      <c r="AV28" s="30">
        <v>7.1428571428571397</v>
      </c>
    </row>
    <row r="29" spans="1:48" x14ac:dyDescent="0.3">
      <c r="A29" s="24" t="s">
        <v>33</v>
      </c>
      <c r="B29" s="25"/>
      <c r="C29" s="26">
        <v>65</v>
      </c>
      <c r="D29" s="26">
        <v>63</v>
      </c>
      <c r="E29" s="26">
        <v>68</v>
      </c>
      <c r="F29" s="26">
        <v>51</v>
      </c>
      <c r="G29" s="26">
        <v>35</v>
      </c>
      <c r="H29" s="26">
        <v>39</v>
      </c>
      <c r="I29" s="26">
        <v>32</v>
      </c>
      <c r="J29" s="26"/>
      <c r="K29" s="26">
        <v>1119089</v>
      </c>
      <c r="L29" s="26">
        <v>1118147</v>
      </c>
      <c r="M29" s="26">
        <v>1118698</v>
      </c>
      <c r="N29" s="26">
        <v>1121456</v>
      </c>
      <c r="O29" s="26">
        <v>1119065</v>
      </c>
      <c r="P29" s="26">
        <v>1111139</v>
      </c>
      <c r="Q29" s="26">
        <v>1105524</v>
      </c>
      <c r="R29" s="26">
        <v>6.1629318406533802E-2</v>
      </c>
      <c r="S29" s="26">
        <f t="shared" si="1"/>
        <v>5.8082958549320024E-2</v>
      </c>
      <c r="T29" s="26">
        <f t="shared" si="1"/>
        <v>5.6343217841661249E-2</v>
      </c>
      <c r="U29" s="26">
        <f t="shared" si="1"/>
        <v>6.0784948216587496E-2</v>
      </c>
      <c r="V29" s="26">
        <f t="shared" si="1"/>
        <v>4.5476594712587921E-2</v>
      </c>
      <c r="W29" s="26">
        <f t="shared" si="1"/>
        <v>3.1276109966802641E-2</v>
      </c>
      <c r="X29" s="26">
        <f t="shared" si="1"/>
        <v>3.5099119012112795E-2</v>
      </c>
      <c r="Y29" s="26">
        <f t="shared" si="1"/>
        <v>2.8945549802627531E-2</v>
      </c>
      <c r="Z29" s="28">
        <v>0.39500000000000002</v>
      </c>
      <c r="AA29" s="28">
        <v>0.38200000000000001</v>
      </c>
      <c r="AB29" s="28">
        <v>0.38600000000000001</v>
      </c>
      <c r="AC29" s="28">
        <v>0.378</v>
      </c>
      <c r="AD29" s="28">
        <v>0.379</v>
      </c>
      <c r="AE29" s="28">
        <v>0.372</v>
      </c>
      <c r="AF29" s="28">
        <v>0.371</v>
      </c>
      <c r="AG29" s="28">
        <v>0.36799999999999999</v>
      </c>
      <c r="AH29" s="28">
        <v>5.0999999999999996</v>
      </c>
      <c r="AI29" s="28">
        <v>4.5999999999999996</v>
      </c>
      <c r="AJ29" s="28">
        <v>3.9</v>
      </c>
      <c r="AK29" s="28">
        <v>4.2</v>
      </c>
      <c r="AL29" s="28">
        <v>4.3</v>
      </c>
      <c r="AM29" s="28">
        <v>4.0999999999999996</v>
      </c>
      <c r="AN29" s="28">
        <v>4</v>
      </c>
      <c r="AO29" s="28">
        <v>3.9</v>
      </c>
      <c r="AP29" s="30">
        <v>11.9402985074627</v>
      </c>
      <c r="AQ29" s="30">
        <v>5.9701492537313401</v>
      </c>
      <c r="AR29" s="30">
        <v>5.7971014492753596</v>
      </c>
      <c r="AS29" s="30">
        <v>7.5471698113207504</v>
      </c>
      <c r="AT29" s="30">
        <v>7.6923076923076898</v>
      </c>
      <c r="AU29" s="30">
        <v>7.6923076923076898</v>
      </c>
      <c r="AV29" s="30">
        <v>9.375</v>
      </c>
    </row>
    <row r="30" spans="1:48" x14ac:dyDescent="0.3">
      <c r="A30" s="24" t="s">
        <v>34</v>
      </c>
      <c r="B30" s="25"/>
      <c r="C30" s="26">
        <v>162</v>
      </c>
      <c r="D30" s="26">
        <v>175</v>
      </c>
      <c r="E30" s="26">
        <v>159</v>
      </c>
      <c r="F30" s="26">
        <v>172</v>
      </c>
      <c r="G30" s="26">
        <v>139</v>
      </c>
      <c r="H30" s="26">
        <v>150</v>
      </c>
      <c r="I30" s="26">
        <v>142</v>
      </c>
      <c r="J30" s="26"/>
      <c r="K30" s="26">
        <v>1757529</v>
      </c>
      <c r="L30" s="26">
        <v>1769732</v>
      </c>
      <c r="M30" s="26">
        <v>1777198</v>
      </c>
      <c r="N30" s="26">
        <v>1785386</v>
      </c>
      <c r="O30" s="26">
        <v>1802866</v>
      </c>
      <c r="P30" s="26">
        <v>1830841</v>
      </c>
      <c r="Q30" s="26">
        <v>1861870</v>
      </c>
      <c r="R30" s="26">
        <v>0.113923697325242</v>
      </c>
      <c r="S30" s="26">
        <f t="shared" si="1"/>
        <v>9.2174865962382405E-2</v>
      </c>
      <c r="T30" s="26">
        <f t="shared" si="1"/>
        <v>9.8885028919633036E-2</v>
      </c>
      <c r="U30" s="26">
        <f t="shared" si="1"/>
        <v>8.9466677320141033E-2</v>
      </c>
      <c r="V30" s="26">
        <f t="shared" si="1"/>
        <v>9.6337710724739636E-2</v>
      </c>
      <c r="W30" s="26">
        <f t="shared" si="1"/>
        <v>7.7099462744319322E-2</v>
      </c>
      <c r="X30" s="26">
        <f t="shared" si="1"/>
        <v>8.1929561332742706E-2</v>
      </c>
      <c r="Y30" s="26">
        <f t="shared" si="1"/>
        <v>7.6267408573101228E-2</v>
      </c>
      <c r="Z30" s="27">
        <v>0.38500000000000001</v>
      </c>
      <c r="AA30" s="28">
        <v>0.38400000000000001</v>
      </c>
      <c r="AB30" s="28">
        <v>0.38100000000000001</v>
      </c>
      <c r="AC30" s="28">
        <v>0.372</v>
      </c>
      <c r="AD30" s="28">
        <v>0.375</v>
      </c>
      <c r="AE30" s="28">
        <v>0.36599999999999999</v>
      </c>
      <c r="AF30" s="28">
        <v>0.36</v>
      </c>
      <c r="AG30" s="28">
        <v>0.35199999999999998</v>
      </c>
      <c r="AH30" s="28">
        <v>3.2</v>
      </c>
      <c r="AI30" s="28">
        <v>4.3</v>
      </c>
      <c r="AJ30" s="28">
        <v>4.5</v>
      </c>
      <c r="AK30" s="28">
        <v>5.0999999999999996</v>
      </c>
      <c r="AL30" s="28">
        <v>4.5999999999999996</v>
      </c>
      <c r="AM30" s="28">
        <v>4.5999999999999996</v>
      </c>
      <c r="AN30" s="28">
        <v>4.2</v>
      </c>
      <c r="AO30" s="28">
        <v>3.9</v>
      </c>
      <c r="AP30" s="30">
        <v>11.728395061728399</v>
      </c>
      <c r="AQ30" s="30">
        <v>21.1111111111111</v>
      </c>
      <c r="AR30" s="30">
        <v>11.875</v>
      </c>
      <c r="AS30" s="30">
        <v>8.7209302325581408</v>
      </c>
      <c r="AT30" s="30">
        <v>7.8014184397163104</v>
      </c>
      <c r="AU30" s="30">
        <v>21.052631578947398</v>
      </c>
      <c r="AV30" s="30">
        <v>19.014084507042298</v>
      </c>
    </row>
    <row r="31" spans="1:48" x14ac:dyDescent="0.3">
      <c r="A31" s="24" t="s">
        <v>35</v>
      </c>
      <c r="B31" s="25"/>
      <c r="C31" s="26">
        <v>93</v>
      </c>
      <c r="D31" s="26">
        <v>72</v>
      </c>
      <c r="E31" s="26">
        <v>56</v>
      </c>
      <c r="F31" s="26">
        <v>59</v>
      </c>
      <c r="G31" s="26">
        <v>45</v>
      </c>
      <c r="H31" s="26">
        <v>43</v>
      </c>
      <c r="I31" s="26">
        <v>48</v>
      </c>
      <c r="J31" s="26"/>
      <c r="K31" s="26">
        <v>1161051</v>
      </c>
      <c r="L31" s="26">
        <v>1158866</v>
      </c>
      <c r="M31" s="26">
        <v>1156979</v>
      </c>
      <c r="N31" s="26">
        <v>1156157</v>
      </c>
      <c r="O31" s="26">
        <v>1153211</v>
      </c>
      <c r="P31" s="26">
        <v>1147118</v>
      </c>
      <c r="Q31" s="26">
        <v>1141703</v>
      </c>
      <c r="R31" s="26">
        <v>8.2243676018172396E-2</v>
      </c>
      <c r="S31" s="26">
        <f t="shared" si="1"/>
        <v>8.0099840575478601E-2</v>
      </c>
      <c r="T31" s="26">
        <f t="shared" si="1"/>
        <v>6.2129702657598027E-2</v>
      </c>
      <c r="U31" s="26">
        <f t="shared" si="1"/>
        <v>4.8401915678676966E-2</v>
      </c>
      <c r="V31" s="26">
        <f t="shared" si="1"/>
        <v>5.1031131585070194E-2</v>
      </c>
      <c r="W31" s="26">
        <f t="shared" si="1"/>
        <v>3.9021480024037235E-2</v>
      </c>
      <c r="X31" s="26">
        <f t="shared" si="1"/>
        <v>3.7485245632968886E-2</v>
      </c>
      <c r="Y31" s="26">
        <f t="shared" si="1"/>
        <v>4.2042457626895957E-2</v>
      </c>
      <c r="Z31" s="28">
        <v>0.39700000000000002</v>
      </c>
      <c r="AA31" s="28">
        <v>0.39700000000000002</v>
      </c>
      <c r="AB31" s="28">
        <v>0.39300000000000002</v>
      </c>
      <c r="AC31" s="28">
        <v>0.38300000000000001</v>
      </c>
      <c r="AD31" s="28">
        <v>0.38500000000000001</v>
      </c>
      <c r="AE31" s="28">
        <v>0.38500000000000001</v>
      </c>
      <c r="AF31" s="28">
        <v>0.38900000000000001</v>
      </c>
      <c r="AG31" s="28">
        <v>0.38800000000000001</v>
      </c>
      <c r="AH31" s="28">
        <v>3.6</v>
      </c>
      <c r="AI31" s="28">
        <v>3.7</v>
      </c>
      <c r="AJ31" s="28">
        <v>3.7</v>
      </c>
      <c r="AK31" s="28">
        <v>4.0999999999999996</v>
      </c>
      <c r="AL31" s="28">
        <v>4</v>
      </c>
      <c r="AM31" s="28">
        <v>3.9</v>
      </c>
      <c r="AN31" s="28">
        <v>3.8</v>
      </c>
      <c r="AO31" s="28">
        <v>3.8</v>
      </c>
      <c r="AP31" s="30">
        <v>9.67741935483871</v>
      </c>
      <c r="AQ31" s="30">
        <v>9.7222222222222197</v>
      </c>
      <c r="AR31" s="30">
        <v>10.526315789473699</v>
      </c>
      <c r="AS31" s="30">
        <v>6.5573770491803298</v>
      </c>
      <c r="AT31" s="30">
        <v>11.1111111111111</v>
      </c>
      <c r="AU31" s="30">
        <v>10.869565217391299</v>
      </c>
      <c r="AV31" s="30">
        <v>6.25</v>
      </c>
    </row>
    <row r="32" spans="1:48" x14ac:dyDescent="0.3">
      <c r="A32" s="24" t="s">
        <v>36</v>
      </c>
      <c r="B32" s="25"/>
      <c r="C32" s="26">
        <v>507</v>
      </c>
      <c r="D32" s="26">
        <v>574</v>
      </c>
      <c r="E32" s="26">
        <v>557</v>
      </c>
      <c r="F32" s="26">
        <v>500</v>
      </c>
      <c r="G32" s="26">
        <v>415</v>
      </c>
      <c r="H32" s="26">
        <v>364</v>
      </c>
      <c r="I32" s="26">
        <v>364</v>
      </c>
      <c r="J32" s="26"/>
      <c r="K32" s="26">
        <v>7090852</v>
      </c>
      <c r="L32" s="26">
        <v>7182344</v>
      </c>
      <c r="M32" s="26">
        <v>7274857</v>
      </c>
      <c r="N32" s="26">
        <v>7371058</v>
      </c>
      <c r="O32" s="26">
        <v>7463427</v>
      </c>
      <c r="P32" s="26">
        <v>7551516</v>
      </c>
      <c r="Q32" s="26">
        <v>7645255</v>
      </c>
      <c r="R32" s="26">
        <v>8.5171911916657794E-2</v>
      </c>
      <c r="S32" s="26">
        <f t="shared" si="1"/>
        <v>7.1500575671301553E-2</v>
      </c>
      <c r="T32" s="26">
        <f t="shared" si="1"/>
        <v>7.9918199406767476E-2</v>
      </c>
      <c r="U32" s="26">
        <f t="shared" si="1"/>
        <v>7.6565078873715317E-2</v>
      </c>
      <c r="V32" s="26">
        <f t="shared" si="1"/>
        <v>6.7832867411978026E-2</v>
      </c>
      <c r="W32" s="26">
        <f t="shared" si="1"/>
        <v>5.560448303440229E-2</v>
      </c>
      <c r="X32" s="26">
        <f t="shared" si="1"/>
        <v>4.820224177502902E-2</v>
      </c>
      <c r="Y32" s="26">
        <f t="shared" si="1"/>
        <v>4.7611230756855069E-2</v>
      </c>
      <c r="Z32" s="28">
        <v>0.41499999999999998</v>
      </c>
      <c r="AA32" s="28">
        <v>0.41</v>
      </c>
      <c r="AB32" s="28">
        <v>0.39600000000000002</v>
      </c>
      <c r="AC32" s="28">
        <v>0.38500000000000001</v>
      </c>
      <c r="AD32" s="28">
        <v>0.38800000000000001</v>
      </c>
      <c r="AE32" s="28">
        <v>0.38400000000000001</v>
      </c>
      <c r="AF32" s="28">
        <v>0.38300000000000001</v>
      </c>
      <c r="AG32" s="28">
        <v>0.38200000000000001</v>
      </c>
      <c r="AH32" s="28">
        <v>2.9</v>
      </c>
      <c r="AI32" s="28">
        <v>2.8</v>
      </c>
      <c r="AJ32" s="28">
        <v>2.7</v>
      </c>
      <c r="AK32" s="28">
        <v>3.3</v>
      </c>
      <c r="AL32" s="28">
        <v>3.3</v>
      </c>
      <c r="AM32" s="28">
        <v>3.2</v>
      </c>
      <c r="AN32" s="28">
        <v>2.7</v>
      </c>
      <c r="AO32" s="28">
        <v>2.8</v>
      </c>
      <c r="AP32" s="30">
        <v>20.4633204633205</v>
      </c>
      <c r="AQ32" s="30">
        <v>11.7443868739206</v>
      </c>
      <c r="AR32" s="30">
        <v>16.991150442477899</v>
      </c>
      <c r="AS32" s="30">
        <v>18.3431952662722</v>
      </c>
      <c r="AT32" s="30">
        <v>14.7268408551069</v>
      </c>
      <c r="AU32" s="30">
        <v>11.413043478260899</v>
      </c>
      <c r="AV32" s="30">
        <v>10.5978260869565</v>
      </c>
    </row>
    <row r="33" spans="1:48" x14ac:dyDescent="0.3">
      <c r="A33" s="24" t="s">
        <v>37</v>
      </c>
      <c r="B33" s="25"/>
      <c r="C33" s="26">
        <v>60</v>
      </c>
      <c r="D33" s="26">
        <v>53</v>
      </c>
      <c r="E33" s="26">
        <v>39</v>
      </c>
      <c r="F33" s="26">
        <v>52</v>
      </c>
      <c r="G33" s="26">
        <v>44</v>
      </c>
      <c r="H33" s="26">
        <v>33</v>
      </c>
      <c r="I33" s="26">
        <v>34</v>
      </c>
      <c r="J33" s="26"/>
      <c r="K33" s="26">
        <v>775729</v>
      </c>
      <c r="L33" s="26">
        <v>768670</v>
      </c>
      <c r="M33" s="26">
        <v>764227</v>
      </c>
      <c r="N33" s="26">
        <v>759897</v>
      </c>
      <c r="O33" s="26">
        <v>755589</v>
      </c>
      <c r="P33" s="26">
        <v>750807</v>
      </c>
      <c r="Q33" s="26">
        <v>744730</v>
      </c>
      <c r="R33" s="26">
        <v>7.6059940389633193E-2</v>
      </c>
      <c r="S33" s="26">
        <f t="shared" si="1"/>
        <v>7.7346599134491559E-2</v>
      </c>
      <c r="T33" s="26">
        <f t="shared" si="1"/>
        <v>6.8950264742997647E-2</v>
      </c>
      <c r="U33" s="26">
        <f t="shared" si="1"/>
        <v>5.1031957782177284E-2</v>
      </c>
      <c r="V33" s="26">
        <f t="shared" si="1"/>
        <v>6.8430326741650505E-2</v>
      </c>
      <c r="W33" s="26">
        <f t="shared" si="1"/>
        <v>5.8232716463580067E-2</v>
      </c>
      <c r="X33" s="26">
        <f t="shared" si="1"/>
        <v>4.395270688738917E-2</v>
      </c>
      <c r="Y33" s="26">
        <f t="shared" si="1"/>
        <v>4.5654129684583676E-2</v>
      </c>
      <c r="Z33" s="27">
        <v>0.39900000000000002</v>
      </c>
      <c r="AA33" s="28">
        <v>0.39500000000000002</v>
      </c>
      <c r="AB33" s="28">
        <v>0.38300000000000001</v>
      </c>
      <c r="AC33" s="28">
        <v>0.371</v>
      </c>
      <c r="AD33" s="28">
        <v>0.371</v>
      </c>
      <c r="AE33" s="28">
        <v>0.36899999999999999</v>
      </c>
      <c r="AF33" s="28">
        <v>0.36499999999999999</v>
      </c>
      <c r="AG33" s="28">
        <v>0.35299999999999998</v>
      </c>
      <c r="AH33" s="28">
        <v>7.7</v>
      </c>
      <c r="AI33" s="28">
        <v>7.2</v>
      </c>
      <c r="AJ33" s="28">
        <v>6.7</v>
      </c>
      <c r="AK33" s="28">
        <v>7.7</v>
      </c>
      <c r="AL33" s="28">
        <v>7.6</v>
      </c>
      <c r="AM33" s="28">
        <v>6.9</v>
      </c>
      <c r="AN33" s="28">
        <v>6.7</v>
      </c>
      <c r="AO33" s="28">
        <v>5.4</v>
      </c>
      <c r="AP33" s="30">
        <v>17.1875</v>
      </c>
      <c r="AQ33" s="30">
        <v>22.2222222222222</v>
      </c>
      <c r="AR33" s="30">
        <v>10.2564102564103</v>
      </c>
      <c r="AS33" s="30">
        <v>5.7692307692307701</v>
      </c>
      <c r="AT33" s="30">
        <v>4.4444444444444402</v>
      </c>
      <c r="AU33" s="30">
        <v>0</v>
      </c>
      <c r="AV33" s="30">
        <v>3.0303030303030298</v>
      </c>
    </row>
    <row r="34" spans="1:48" x14ac:dyDescent="0.3">
      <c r="A34" s="24" t="s">
        <v>38</v>
      </c>
      <c r="B34" s="25"/>
      <c r="C34" s="26">
        <v>242</v>
      </c>
      <c r="D34" s="26">
        <v>240</v>
      </c>
      <c r="E34" s="26">
        <v>362</v>
      </c>
      <c r="F34" s="26">
        <v>218</v>
      </c>
      <c r="G34" s="26">
        <v>274</v>
      </c>
      <c r="H34" s="26">
        <v>215</v>
      </c>
      <c r="I34" s="26">
        <v>178</v>
      </c>
      <c r="J34" s="26"/>
      <c r="K34" s="26">
        <v>3285668</v>
      </c>
      <c r="L34" s="26">
        <v>3275850</v>
      </c>
      <c r="M34" s="26">
        <v>3265235</v>
      </c>
      <c r="N34" s="26">
        <v>3253990</v>
      </c>
      <c r="O34" s="26">
        <v>3241232</v>
      </c>
      <c r="P34" s="26">
        <v>3224687</v>
      </c>
      <c r="Q34" s="26">
        <v>3208785</v>
      </c>
      <c r="R34" s="26">
        <v>7.7241281998493505E-2</v>
      </c>
      <c r="S34" s="26">
        <f t="shared" si="1"/>
        <v>7.3653211462631041E-2</v>
      </c>
      <c r="T34" s="26">
        <f t="shared" si="1"/>
        <v>7.3263427812628776E-2</v>
      </c>
      <c r="U34" s="26">
        <f t="shared" si="1"/>
        <v>0.11086491477642497</v>
      </c>
      <c r="V34" s="26">
        <f t="shared" si="1"/>
        <v>6.6994674230713674E-2</v>
      </c>
      <c r="W34" s="26">
        <f t="shared" si="1"/>
        <v>8.4535756773967435E-2</v>
      </c>
      <c r="X34" s="26">
        <f t="shared" si="1"/>
        <v>6.6673137578934019E-2</v>
      </c>
      <c r="Y34" s="26">
        <f t="shared" si="1"/>
        <v>5.5472710075620525E-2</v>
      </c>
      <c r="Z34" s="27">
        <v>0.40600000000000003</v>
      </c>
      <c r="AA34" s="28">
        <v>0.41099999999999998</v>
      </c>
      <c r="AB34" s="28">
        <v>0.40899999999999997</v>
      </c>
      <c r="AC34" s="28">
        <v>0.40100000000000002</v>
      </c>
      <c r="AD34" s="28">
        <v>0.40200000000000002</v>
      </c>
      <c r="AE34" s="28">
        <v>0.39700000000000002</v>
      </c>
      <c r="AF34" s="28">
        <v>0.39400000000000002</v>
      </c>
      <c r="AG34" s="28">
        <v>0.39500000000000002</v>
      </c>
      <c r="AH34" s="28">
        <v>5.4</v>
      </c>
      <c r="AI34" s="28">
        <v>4.3</v>
      </c>
      <c r="AJ34" s="28">
        <v>4.2</v>
      </c>
      <c r="AK34" s="28">
        <v>4.2</v>
      </c>
      <c r="AL34" s="28">
        <v>4.3</v>
      </c>
      <c r="AM34" s="28">
        <v>4.2</v>
      </c>
      <c r="AN34" s="28">
        <v>4.0999999999999996</v>
      </c>
      <c r="AO34" s="28">
        <v>4</v>
      </c>
      <c r="AP34" s="30">
        <v>6.5573770491803298</v>
      </c>
      <c r="AQ34" s="30">
        <v>4.9180327868852496</v>
      </c>
      <c r="AR34" s="30">
        <v>35.616438356164402</v>
      </c>
      <c r="AS34" s="30">
        <v>10.0456621004566</v>
      </c>
      <c r="AT34" s="30">
        <v>6.1151079136690596</v>
      </c>
      <c r="AU34" s="30">
        <v>12.558139534883701</v>
      </c>
      <c r="AV34" s="30">
        <v>9.94475138121547</v>
      </c>
    </row>
    <row r="35" spans="1:48" x14ac:dyDescent="0.3">
      <c r="A35" s="24" t="s">
        <v>39</v>
      </c>
      <c r="B35" s="25"/>
      <c r="C35" s="26">
        <v>72</v>
      </c>
      <c r="D35" s="26">
        <v>64</v>
      </c>
      <c r="E35" s="26">
        <v>57</v>
      </c>
      <c r="F35" s="26">
        <v>69</v>
      </c>
      <c r="G35" s="26">
        <v>42</v>
      </c>
      <c r="H35" s="26">
        <v>46</v>
      </c>
      <c r="I35" s="26">
        <v>40</v>
      </c>
      <c r="J35" s="26"/>
      <c r="K35" s="26">
        <v>624143</v>
      </c>
      <c r="L35" s="26">
        <v>620567</v>
      </c>
      <c r="M35" s="26">
        <v>617198</v>
      </c>
      <c r="N35" s="26">
        <v>614107</v>
      </c>
      <c r="O35" s="26">
        <v>609499</v>
      </c>
      <c r="P35" s="26">
        <v>603386</v>
      </c>
      <c r="Q35" s="26">
        <v>598402</v>
      </c>
      <c r="R35" s="26">
        <v>0.11641350715624101</v>
      </c>
      <c r="S35" s="26">
        <f t="shared" si="1"/>
        <v>0.11535817913523022</v>
      </c>
      <c r="T35" s="26">
        <f t="shared" si="1"/>
        <v>0.103131491039646</v>
      </c>
      <c r="U35" s="26">
        <f t="shared" si="1"/>
        <v>9.2352859212116695E-2</v>
      </c>
      <c r="V35" s="26">
        <f t="shared" si="1"/>
        <v>0.11235826981291533</v>
      </c>
      <c r="W35" s="26">
        <f t="shared" si="1"/>
        <v>6.8909054813871717E-2</v>
      </c>
      <c r="X35" s="26">
        <f t="shared" si="1"/>
        <v>7.6236439029079228E-2</v>
      </c>
      <c r="Y35" s="26">
        <f t="shared" si="1"/>
        <v>6.6844696374677895E-2</v>
      </c>
      <c r="Z35" s="27">
        <v>0.40699999999999997</v>
      </c>
      <c r="AA35" s="28">
        <v>0.39300000000000002</v>
      </c>
      <c r="AB35" s="28">
        <v>0.39</v>
      </c>
      <c r="AC35" s="28">
        <v>0.379</v>
      </c>
      <c r="AD35" s="28">
        <v>0.372</v>
      </c>
      <c r="AE35" s="28">
        <v>0.36199999999999999</v>
      </c>
      <c r="AF35" s="28">
        <v>0.35</v>
      </c>
      <c r="AG35" s="28">
        <v>0.34399999999999997</v>
      </c>
      <c r="AH35" s="28">
        <v>4.0999999999999996</v>
      </c>
      <c r="AI35" s="28">
        <v>4.5999999999999996</v>
      </c>
      <c r="AJ35" s="28">
        <v>3.7</v>
      </c>
      <c r="AK35" s="28">
        <v>4.5</v>
      </c>
      <c r="AL35" s="28">
        <v>4.9000000000000004</v>
      </c>
      <c r="AM35" s="28">
        <v>4.7</v>
      </c>
      <c r="AN35" s="28">
        <v>4.2</v>
      </c>
      <c r="AO35" s="28">
        <v>3.6</v>
      </c>
      <c r="AP35" s="30">
        <v>4</v>
      </c>
      <c r="AQ35" s="30">
        <v>4.6153846153846203</v>
      </c>
      <c r="AR35" s="30">
        <v>0</v>
      </c>
      <c r="AS35" s="30">
        <v>5.7971014492753596</v>
      </c>
      <c r="AT35" s="30">
        <v>7.1428571428571397</v>
      </c>
      <c r="AU35" s="30">
        <v>4.3478260869565197</v>
      </c>
      <c r="AV35" s="30">
        <v>2.5</v>
      </c>
    </row>
    <row r="36" spans="1:48" x14ac:dyDescent="0.3">
      <c r="A36" s="24" t="s">
        <v>40</v>
      </c>
      <c r="B36" s="25"/>
      <c r="C36" s="26">
        <v>251</v>
      </c>
      <c r="D36" s="26">
        <v>233</v>
      </c>
      <c r="E36" s="26">
        <v>225</v>
      </c>
      <c r="F36" s="26">
        <v>249</v>
      </c>
      <c r="G36" s="26">
        <v>213</v>
      </c>
      <c r="H36" s="26">
        <v>178</v>
      </c>
      <c r="I36" s="26">
        <v>137</v>
      </c>
      <c r="J36" s="26"/>
      <c r="K36" s="26">
        <v>2720318</v>
      </c>
      <c r="L36" s="26">
        <v>2738999</v>
      </c>
      <c r="M36" s="26">
        <v>2754529</v>
      </c>
      <c r="N36" s="26">
        <v>2770896</v>
      </c>
      <c r="O36" s="26">
        <v>2784202</v>
      </c>
      <c r="P36" s="26">
        <v>2791116</v>
      </c>
      <c r="Q36" s="26">
        <v>2795777</v>
      </c>
      <c r="R36" s="26">
        <v>9.8873069197817201E-2</v>
      </c>
      <c r="S36" s="26">
        <f t="shared" si="1"/>
        <v>9.2268624476991301E-2</v>
      </c>
      <c r="T36" s="26">
        <f t="shared" si="1"/>
        <v>8.5067573956763037E-2</v>
      </c>
      <c r="U36" s="26">
        <f t="shared" si="1"/>
        <v>8.1683656262105067E-2</v>
      </c>
      <c r="V36" s="26">
        <f t="shared" si="1"/>
        <v>8.986262927226428E-2</v>
      </c>
      <c r="W36" s="26">
        <f t="shared" si="1"/>
        <v>7.6503069820365047E-2</v>
      </c>
      <c r="X36" s="26">
        <f t="shared" si="1"/>
        <v>6.3773773644663995E-2</v>
      </c>
      <c r="Y36" s="26">
        <f t="shared" si="1"/>
        <v>4.9002477665421811E-2</v>
      </c>
      <c r="Z36" s="27">
        <v>0.41399999999999998</v>
      </c>
      <c r="AA36" s="28">
        <v>0.41</v>
      </c>
      <c r="AB36" s="28">
        <v>0.38500000000000001</v>
      </c>
      <c r="AC36" s="28">
        <v>0.378</v>
      </c>
      <c r="AD36" s="28">
        <v>0.38200000000000001</v>
      </c>
      <c r="AE36" s="28">
        <v>0.374</v>
      </c>
      <c r="AF36" s="28">
        <v>0.376</v>
      </c>
      <c r="AG36" s="28">
        <v>0.376</v>
      </c>
      <c r="AH36" s="28">
        <v>5.6</v>
      </c>
      <c r="AI36" s="28">
        <v>5.9</v>
      </c>
      <c r="AJ36" s="28">
        <v>5.0999999999999996</v>
      </c>
      <c r="AK36" s="28">
        <v>6.9</v>
      </c>
      <c r="AL36" s="28">
        <v>7.4</v>
      </c>
      <c r="AM36" s="28">
        <v>6</v>
      </c>
      <c r="AN36" s="28">
        <v>6.7</v>
      </c>
      <c r="AO36" s="28">
        <v>6.1</v>
      </c>
      <c r="AP36" s="30">
        <v>10.276679841897201</v>
      </c>
      <c r="AQ36" s="30">
        <v>11.814345991561201</v>
      </c>
      <c r="AR36" s="30">
        <v>7.8947368421052602</v>
      </c>
      <c r="AS36" s="30">
        <v>5.1792828685258998</v>
      </c>
      <c r="AT36" s="30">
        <v>3.68663594470046</v>
      </c>
      <c r="AU36" s="30">
        <v>4.4943820224719104</v>
      </c>
      <c r="AV36" s="30">
        <v>4.3795620437956204</v>
      </c>
    </row>
    <row r="37" spans="1:48" x14ac:dyDescent="0.3">
      <c r="A37" s="24" t="s">
        <v>41</v>
      </c>
      <c r="B37" s="25"/>
      <c r="C37" s="26">
        <v>170</v>
      </c>
      <c r="D37" s="26">
        <v>129</v>
      </c>
      <c r="E37" s="26">
        <v>130</v>
      </c>
      <c r="F37" s="26">
        <v>121</v>
      </c>
      <c r="G37" s="26">
        <v>114</v>
      </c>
      <c r="H37" s="26">
        <v>105</v>
      </c>
      <c r="I37" s="26">
        <v>88</v>
      </c>
      <c r="J37" s="26"/>
      <c r="K37" s="26">
        <v>1973930</v>
      </c>
      <c r="L37" s="26">
        <v>1976029</v>
      </c>
      <c r="M37" s="26">
        <v>1978324</v>
      </c>
      <c r="N37" s="26">
        <v>1975574</v>
      </c>
      <c r="O37" s="26">
        <v>1966382</v>
      </c>
      <c r="P37" s="26">
        <v>1952138</v>
      </c>
      <c r="Q37" s="26">
        <v>1935430</v>
      </c>
      <c r="R37" s="26">
        <v>7.3584040078435498E-2</v>
      </c>
      <c r="S37" s="26">
        <f t="shared" si="1"/>
        <v>8.6122608197859093E-2</v>
      </c>
      <c r="T37" s="26">
        <f t="shared" si="1"/>
        <v>6.5282442717186848E-2</v>
      </c>
      <c r="U37" s="26">
        <f t="shared" si="1"/>
        <v>6.5712188701142996E-2</v>
      </c>
      <c r="V37" s="26">
        <f t="shared" si="1"/>
        <v>6.1248022093831969E-2</v>
      </c>
      <c r="W37" s="26">
        <f t="shared" si="1"/>
        <v>5.7974493257159594E-2</v>
      </c>
      <c r="X37" s="26">
        <f t="shared" si="1"/>
        <v>5.3787181029210027E-2</v>
      </c>
      <c r="Y37" s="26">
        <f t="shared" si="1"/>
        <v>4.5467932190779312E-2</v>
      </c>
      <c r="Z37" s="27">
        <v>0.42</v>
      </c>
      <c r="AA37" s="28">
        <v>0.41299999999999998</v>
      </c>
      <c r="AB37" s="28">
        <v>0.41599999999999998</v>
      </c>
      <c r="AC37" s="28">
        <v>0.40699999999999997</v>
      </c>
      <c r="AD37" s="28">
        <v>0.40300000000000002</v>
      </c>
      <c r="AE37" s="28">
        <v>0.39100000000000001</v>
      </c>
      <c r="AF37" s="28">
        <v>0.38600000000000001</v>
      </c>
      <c r="AG37" s="28">
        <v>0.38200000000000001</v>
      </c>
      <c r="AH37" s="28">
        <v>6.9</v>
      </c>
      <c r="AI37" s="28">
        <v>6.8</v>
      </c>
      <c r="AJ37" s="28">
        <v>6.6</v>
      </c>
      <c r="AK37" s="28">
        <v>6.8</v>
      </c>
      <c r="AL37" s="28">
        <v>7.1</v>
      </c>
      <c r="AM37" s="28">
        <v>6.9</v>
      </c>
      <c r="AN37" s="28">
        <v>6.7</v>
      </c>
      <c r="AO37" s="28">
        <v>6.5</v>
      </c>
      <c r="AP37" s="30">
        <v>6.9767441860465098</v>
      </c>
      <c r="AQ37" s="30">
        <v>6.9767441860465098</v>
      </c>
      <c r="AR37" s="30">
        <v>7.6335877862595396</v>
      </c>
      <c r="AS37" s="30">
        <v>7.3770491803278704</v>
      </c>
      <c r="AT37" s="30">
        <v>7.0175438596491198</v>
      </c>
      <c r="AU37" s="30">
        <v>4.6728971962616797</v>
      </c>
      <c r="AV37" s="30">
        <v>5.6179775280898898</v>
      </c>
    </row>
    <row r="38" spans="1:48" x14ac:dyDescent="0.3">
      <c r="A38" s="24" t="s">
        <v>42</v>
      </c>
      <c r="B38" s="25"/>
      <c r="C38" s="26">
        <v>217</v>
      </c>
      <c r="D38" s="26">
        <v>180</v>
      </c>
      <c r="E38" s="26">
        <v>170</v>
      </c>
      <c r="F38" s="26">
        <v>155</v>
      </c>
      <c r="G38" s="26">
        <v>130</v>
      </c>
      <c r="H38" s="26">
        <v>117</v>
      </c>
      <c r="I38" s="26">
        <v>110</v>
      </c>
      <c r="J38" s="26"/>
      <c r="K38" s="26">
        <v>2012326</v>
      </c>
      <c r="L38" s="26">
        <v>2004838</v>
      </c>
      <c r="M38" s="26">
        <v>1997936</v>
      </c>
      <c r="N38" s="26">
        <v>1992175</v>
      </c>
      <c r="O38" s="26">
        <v>1983655</v>
      </c>
      <c r="P38" s="26">
        <v>1970364</v>
      </c>
      <c r="Q38" s="26">
        <v>1959921</v>
      </c>
      <c r="R38" s="26">
        <v>0.120904665427435</v>
      </c>
      <c r="S38" s="26">
        <f t="shared" si="1"/>
        <v>0.10783541036591486</v>
      </c>
      <c r="T38" s="26">
        <f t="shared" si="1"/>
        <v>8.9782815369620891E-2</v>
      </c>
      <c r="U38" s="26">
        <f t="shared" si="1"/>
        <v>8.5087810620560422E-2</v>
      </c>
      <c r="V38" s="26">
        <f t="shared" si="1"/>
        <v>7.7804409753159234E-2</v>
      </c>
      <c r="W38" s="26">
        <f t="shared" si="1"/>
        <v>6.5535589606055489E-2</v>
      </c>
      <c r="X38" s="26">
        <f t="shared" si="1"/>
        <v>5.937989122821976E-2</v>
      </c>
      <c r="Y38" s="26">
        <f t="shared" si="1"/>
        <v>5.6124711149071825E-2</v>
      </c>
      <c r="Z38" s="27">
        <v>0.39200000000000002</v>
      </c>
      <c r="AA38" s="28">
        <v>0.39300000000000002</v>
      </c>
      <c r="AB38" s="28">
        <v>0.39500000000000002</v>
      </c>
      <c r="AC38" s="28">
        <v>0.38500000000000001</v>
      </c>
      <c r="AD38" s="28">
        <v>0.38200000000000001</v>
      </c>
      <c r="AE38" s="28">
        <v>0.38300000000000001</v>
      </c>
      <c r="AF38" s="28">
        <v>0.38300000000000001</v>
      </c>
      <c r="AG38" s="28">
        <v>0.379</v>
      </c>
      <c r="AH38" s="28">
        <v>5.4</v>
      </c>
      <c r="AI38" s="28">
        <v>4.9000000000000004</v>
      </c>
      <c r="AJ38" s="28">
        <v>4.4000000000000004</v>
      </c>
      <c r="AK38" s="28">
        <v>4.8</v>
      </c>
      <c r="AL38" s="28">
        <v>4.9000000000000004</v>
      </c>
      <c r="AM38" s="28">
        <v>4.5</v>
      </c>
      <c r="AN38" s="28">
        <v>4.4000000000000004</v>
      </c>
      <c r="AO38" s="28">
        <v>4.4000000000000004</v>
      </c>
      <c r="AP38" s="30">
        <v>5.0228310502283096</v>
      </c>
      <c r="AQ38" s="30">
        <v>9.8360655737704903</v>
      </c>
      <c r="AR38" s="30">
        <v>7.5144508670520196</v>
      </c>
      <c r="AS38" s="30">
        <v>4.4871794871794899</v>
      </c>
      <c r="AT38" s="30">
        <v>2.2727272727272698</v>
      </c>
      <c r="AU38" s="30">
        <v>5.7851239669421499</v>
      </c>
      <c r="AV38" s="30">
        <v>4.4247787610619502</v>
      </c>
    </row>
    <row r="39" spans="1:48" x14ac:dyDescent="0.3">
      <c r="A39" s="24" t="s">
        <v>43</v>
      </c>
      <c r="B39" s="25"/>
      <c r="C39" s="26">
        <v>60</v>
      </c>
      <c r="D39" s="26">
        <v>53</v>
      </c>
      <c r="E39" s="26">
        <v>42</v>
      </c>
      <c r="F39" s="26">
        <v>41</v>
      </c>
      <c r="G39" s="26">
        <v>41</v>
      </c>
      <c r="H39" s="26">
        <v>38</v>
      </c>
      <c r="I39" s="26">
        <v>50</v>
      </c>
      <c r="J39" s="26"/>
      <c r="K39" s="26">
        <v>772903</v>
      </c>
      <c r="L39" s="26">
        <v>767605</v>
      </c>
      <c r="M39" s="26">
        <v>762476</v>
      </c>
      <c r="N39" s="26">
        <v>757269</v>
      </c>
      <c r="O39" s="26">
        <v>751032</v>
      </c>
      <c r="P39" s="26">
        <v>743357</v>
      </c>
      <c r="Q39" s="26">
        <v>736483</v>
      </c>
      <c r="R39" s="26">
        <v>6.5550677099935201E-2</v>
      </c>
      <c r="S39" s="26">
        <f t="shared" si="1"/>
        <v>7.7629404983549047E-2</v>
      </c>
      <c r="T39" s="26">
        <f t="shared" si="1"/>
        <v>6.9045928570032764E-2</v>
      </c>
      <c r="U39" s="26">
        <f t="shared" si="1"/>
        <v>5.5083700995178862E-2</v>
      </c>
      <c r="V39" s="26">
        <f t="shared" si="1"/>
        <v>5.4141923147520893E-2</v>
      </c>
      <c r="W39" s="26">
        <f t="shared" si="1"/>
        <v>5.4591548695661435E-2</v>
      </c>
      <c r="X39" s="26">
        <f t="shared" si="1"/>
        <v>5.1119448663293682E-2</v>
      </c>
      <c r="Y39" s="26">
        <f t="shared" si="1"/>
        <v>6.789022964549081E-2</v>
      </c>
      <c r="Z39" s="28">
        <v>0.40300000000000002</v>
      </c>
      <c r="AA39" s="28">
        <v>0.372</v>
      </c>
      <c r="AB39" s="28">
        <v>0.36899999999999999</v>
      </c>
      <c r="AC39" s="28">
        <v>0.36499999999999999</v>
      </c>
      <c r="AD39" s="28">
        <v>0.37</v>
      </c>
      <c r="AE39" s="28">
        <v>0.36799999999999999</v>
      </c>
      <c r="AF39" s="28">
        <v>0.36699999999999999</v>
      </c>
      <c r="AG39" s="28">
        <v>0.36499999999999999</v>
      </c>
      <c r="AH39" s="32">
        <v>5.3</v>
      </c>
      <c r="AI39" s="28">
        <v>5.8</v>
      </c>
      <c r="AJ39" s="28">
        <v>5.0999999999999996</v>
      </c>
      <c r="AK39" s="28">
        <v>6.2</v>
      </c>
      <c r="AL39" s="28">
        <v>6.4</v>
      </c>
      <c r="AM39" s="28">
        <v>6.5</v>
      </c>
      <c r="AN39" s="28">
        <v>4.9000000000000004</v>
      </c>
      <c r="AO39" s="28">
        <v>5.3</v>
      </c>
      <c r="AP39" s="30">
        <v>7.9365079365079403</v>
      </c>
      <c r="AQ39" s="30">
        <v>9.0909090909090899</v>
      </c>
      <c r="AR39" s="30">
        <v>9.3023255813953494</v>
      </c>
      <c r="AS39" s="30">
        <v>9.5238095238095202</v>
      </c>
      <c r="AT39" s="30">
        <v>12.1951219512195</v>
      </c>
      <c r="AU39" s="30">
        <v>5.2631578947368398</v>
      </c>
      <c r="AV39" s="30">
        <v>4</v>
      </c>
    </row>
    <row r="40" spans="1:48" x14ac:dyDescent="0.3">
      <c r="A40" s="24" t="s">
        <v>44</v>
      </c>
      <c r="B40" s="25"/>
      <c r="C40" s="26">
        <v>75</v>
      </c>
      <c r="D40" s="26">
        <v>59</v>
      </c>
      <c r="E40" s="26">
        <v>55</v>
      </c>
      <c r="F40" s="26">
        <v>49</v>
      </c>
      <c r="G40" s="26">
        <v>37</v>
      </c>
      <c r="H40" s="26">
        <v>40</v>
      </c>
      <c r="I40" s="26">
        <v>37</v>
      </c>
      <c r="J40" s="26"/>
      <c r="K40" s="26">
        <v>1364622</v>
      </c>
      <c r="L40" s="26">
        <v>1358102</v>
      </c>
      <c r="M40" s="26">
        <v>1352161</v>
      </c>
      <c r="N40" s="26">
        <v>1345115</v>
      </c>
      <c r="O40" s="26">
        <v>1336591</v>
      </c>
      <c r="P40" s="26">
        <v>1324879</v>
      </c>
      <c r="Q40" s="26">
        <v>1311833</v>
      </c>
      <c r="R40" s="26">
        <v>5.3993474086050999E-2</v>
      </c>
      <c r="S40" s="26">
        <f t="shared" si="1"/>
        <v>5.4960274713437125E-2</v>
      </c>
      <c r="T40" s="26">
        <f t="shared" si="1"/>
        <v>4.3442981455001167E-2</v>
      </c>
      <c r="U40" s="26">
        <f t="shared" si="1"/>
        <v>4.0675629603279494E-2</v>
      </c>
      <c r="V40" s="26">
        <f t="shared" si="1"/>
        <v>3.642811209450493E-2</v>
      </c>
      <c r="W40" s="26">
        <f t="shared" si="1"/>
        <v>2.7682365061563335E-2</v>
      </c>
      <c r="X40" s="26">
        <f t="shared" si="1"/>
        <v>3.0191436350036491E-2</v>
      </c>
      <c r="Y40" s="26">
        <f t="shared" si="1"/>
        <v>2.8204809606100778E-2</v>
      </c>
      <c r="Z40" s="27">
        <v>0.39</v>
      </c>
      <c r="AA40" s="28">
        <v>0.38500000000000001</v>
      </c>
      <c r="AB40" s="28">
        <v>0.38700000000000001</v>
      </c>
      <c r="AC40" s="28">
        <v>0.378</v>
      </c>
      <c r="AD40" s="28">
        <v>0.35899999999999999</v>
      </c>
      <c r="AE40" s="28">
        <v>0.35599999999999998</v>
      </c>
      <c r="AF40" s="28">
        <v>0.35099999999999998</v>
      </c>
      <c r="AG40" s="33">
        <v>0.35199999999999998</v>
      </c>
      <c r="AH40" s="19">
        <v>4.9000000000000004</v>
      </c>
      <c r="AI40" s="34">
        <v>4.8</v>
      </c>
      <c r="AJ40" s="28">
        <v>4.5999999999999996</v>
      </c>
      <c r="AK40" s="28">
        <v>4.7</v>
      </c>
      <c r="AL40" s="28">
        <v>4.5999999999999996</v>
      </c>
      <c r="AM40" s="28">
        <v>4.5999999999999996</v>
      </c>
      <c r="AN40" s="28">
        <v>4.4000000000000004</v>
      </c>
      <c r="AO40" s="28">
        <v>4.3</v>
      </c>
      <c r="AP40" s="30">
        <v>7.6923076923076898</v>
      </c>
      <c r="AQ40" s="30">
        <v>8.3333333333333304</v>
      </c>
      <c r="AR40" s="30">
        <v>7.1428571428571397</v>
      </c>
      <c r="AS40" s="30">
        <v>6</v>
      </c>
      <c r="AT40" s="30">
        <v>2.7027027027027</v>
      </c>
      <c r="AU40" s="30">
        <v>2.5</v>
      </c>
      <c r="AV40" s="30">
        <v>7.8947368421052602</v>
      </c>
    </row>
    <row r="41" spans="1:48" x14ac:dyDescent="0.3">
      <c r="A41" s="24" t="s">
        <v>45</v>
      </c>
      <c r="B41" s="25"/>
      <c r="C41" s="26">
        <v>317</v>
      </c>
      <c r="D41" s="26">
        <v>259</v>
      </c>
      <c r="E41" s="26">
        <v>279</v>
      </c>
      <c r="F41" s="26">
        <v>217</v>
      </c>
      <c r="G41" s="26">
        <v>231</v>
      </c>
      <c r="H41" s="26">
        <v>200</v>
      </c>
      <c r="I41" s="26">
        <v>174</v>
      </c>
      <c r="J41" s="26"/>
      <c r="K41" s="26">
        <v>2635308</v>
      </c>
      <c r="L41" s="26">
        <v>2636593</v>
      </c>
      <c r="M41" s="26">
        <v>2635720</v>
      </c>
      <c r="N41" s="26">
        <v>2633253</v>
      </c>
      <c r="O41" s="26">
        <v>2627610</v>
      </c>
      <c r="P41" s="26">
        <v>2616961</v>
      </c>
      <c r="Q41" s="26">
        <v>2605030</v>
      </c>
      <c r="R41" s="26">
        <v>0.13807074471099701</v>
      </c>
      <c r="S41" s="26">
        <f t="shared" si="1"/>
        <v>0.12028954490329025</v>
      </c>
      <c r="T41" s="26">
        <f t="shared" si="1"/>
        <v>9.8232833053869137E-2</v>
      </c>
      <c r="U41" s="26">
        <f t="shared" si="1"/>
        <v>0.10585342904405627</v>
      </c>
      <c r="V41" s="26">
        <f t="shared" si="1"/>
        <v>8.2407577243812119E-2</v>
      </c>
      <c r="W41" s="26">
        <f t="shared" si="1"/>
        <v>8.7912589767887919E-2</v>
      </c>
      <c r="X41" s="26">
        <f t="shared" si="1"/>
        <v>7.6424524477055639E-2</v>
      </c>
      <c r="Y41" s="26">
        <f t="shared" si="1"/>
        <v>6.6793856500692889E-2</v>
      </c>
      <c r="Z41" s="27">
        <v>0.42899999999999999</v>
      </c>
      <c r="AA41" s="28">
        <v>0.42499999999999999</v>
      </c>
      <c r="AB41" s="28">
        <v>0.42399999999999999</v>
      </c>
      <c r="AC41" s="28">
        <v>0.42399999999999999</v>
      </c>
      <c r="AD41" s="28">
        <v>0.41</v>
      </c>
      <c r="AE41" s="28">
        <v>0.40400000000000003</v>
      </c>
      <c r="AF41" s="28">
        <v>0.40300000000000002</v>
      </c>
      <c r="AG41" s="33">
        <v>0.40100000000000002</v>
      </c>
      <c r="AH41" s="19">
        <v>6.3</v>
      </c>
      <c r="AI41" s="34">
        <v>6.5</v>
      </c>
      <c r="AJ41" s="28">
        <v>5.8</v>
      </c>
      <c r="AK41" s="28">
        <v>6.2</v>
      </c>
      <c r="AL41" s="28">
        <v>5.8</v>
      </c>
      <c r="AM41" s="28">
        <v>6.1</v>
      </c>
      <c r="AN41" s="28">
        <v>5.4</v>
      </c>
      <c r="AO41" s="28">
        <v>5.0999999999999996</v>
      </c>
      <c r="AP41" s="30">
        <v>6.7901234567901199</v>
      </c>
      <c r="AQ41" s="30">
        <v>5.6818181818181799</v>
      </c>
      <c r="AR41" s="30">
        <v>4.28571428571429</v>
      </c>
      <c r="AS41" s="30">
        <v>4.5454545454545503</v>
      </c>
      <c r="AT41" s="30">
        <v>3.4334763948497899</v>
      </c>
      <c r="AU41" s="30">
        <v>3.9603960396039599</v>
      </c>
      <c r="AV41" s="30">
        <v>4.0229885057471302</v>
      </c>
    </row>
    <row r="42" spans="1:48" x14ac:dyDescent="0.3">
      <c r="A42" s="24" t="s">
        <v>46</v>
      </c>
      <c r="B42" s="25"/>
      <c r="C42" s="26">
        <v>343</v>
      </c>
      <c r="D42" s="26">
        <v>325</v>
      </c>
      <c r="E42" s="26">
        <v>240</v>
      </c>
      <c r="F42" s="26">
        <v>204</v>
      </c>
      <c r="G42" s="26">
        <v>199</v>
      </c>
      <c r="H42" s="26">
        <v>160</v>
      </c>
      <c r="I42" s="26">
        <v>152</v>
      </c>
      <c r="J42" s="26"/>
      <c r="K42" s="26">
        <v>1942889</v>
      </c>
      <c r="L42" s="26">
        <v>1935912</v>
      </c>
      <c r="M42" s="26">
        <v>1931158</v>
      </c>
      <c r="N42" s="26">
        <v>1926062</v>
      </c>
      <c r="O42" s="26">
        <v>1918076</v>
      </c>
      <c r="P42" s="26">
        <v>1907877</v>
      </c>
      <c r="Q42" s="26">
        <v>1899293</v>
      </c>
      <c r="R42" s="26">
        <v>0.130534683425127</v>
      </c>
      <c r="S42" s="26">
        <f t="shared" si="1"/>
        <v>0.17654122289024232</v>
      </c>
      <c r="T42" s="26">
        <f t="shared" si="1"/>
        <v>0.16787953171425146</v>
      </c>
      <c r="U42" s="26">
        <f t="shared" si="1"/>
        <v>0.12427776494724926</v>
      </c>
      <c r="V42" s="26">
        <f t="shared" si="1"/>
        <v>0.10591559357902289</v>
      </c>
      <c r="W42" s="26">
        <f t="shared" si="1"/>
        <v>0.10374979927802652</v>
      </c>
      <c r="X42" s="26">
        <f t="shared" si="1"/>
        <v>8.3862848600826989E-2</v>
      </c>
      <c r="Y42" s="26">
        <f t="shared" si="1"/>
        <v>8.0029779502162127E-2</v>
      </c>
      <c r="Z42" s="27">
        <v>0.39300000000000002</v>
      </c>
      <c r="AA42" s="28">
        <v>0.38</v>
      </c>
      <c r="AB42" s="28">
        <v>0.38600000000000001</v>
      </c>
      <c r="AC42" s="28">
        <v>0.375</v>
      </c>
      <c r="AD42" s="28">
        <v>0.375</v>
      </c>
      <c r="AE42" s="28">
        <v>0.378</v>
      </c>
      <c r="AF42" s="28">
        <v>0.38800000000000001</v>
      </c>
      <c r="AG42" s="28">
        <v>0.38700000000000001</v>
      </c>
      <c r="AH42" s="29">
        <v>6.9</v>
      </c>
      <c r="AI42" s="28">
        <v>7.1</v>
      </c>
      <c r="AJ42" s="28">
        <v>6.9</v>
      </c>
      <c r="AK42" s="28">
        <v>6.9</v>
      </c>
      <c r="AL42" s="28">
        <v>5.9</v>
      </c>
      <c r="AM42" s="28">
        <v>5.3</v>
      </c>
      <c r="AN42" s="28">
        <v>5.2</v>
      </c>
      <c r="AO42" s="28">
        <v>5</v>
      </c>
      <c r="AP42" s="30">
        <v>10.1744186046512</v>
      </c>
      <c r="AQ42" s="30">
        <v>20.795107033639098</v>
      </c>
      <c r="AR42" s="30">
        <v>7.0833333333333304</v>
      </c>
      <c r="AS42" s="30">
        <v>6.8627450980392197</v>
      </c>
      <c r="AT42" s="30">
        <v>8.5</v>
      </c>
      <c r="AU42" s="30">
        <v>7.5</v>
      </c>
      <c r="AV42" s="30">
        <v>4.6052631578947398</v>
      </c>
    </row>
    <row r="43" spans="1:48" x14ac:dyDescent="0.3">
      <c r="A43" s="24" t="s">
        <v>47</v>
      </c>
      <c r="B43" s="25"/>
      <c r="C43" s="26">
        <v>71</v>
      </c>
      <c r="D43" s="26">
        <v>64</v>
      </c>
      <c r="E43" s="26">
        <v>45</v>
      </c>
      <c r="F43" s="26">
        <v>42</v>
      </c>
      <c r="G43" s="26">
        <v>59</v>
      </c>
      <c r="H43" s="26">
        <v>44</v>
      </c>
      <c r="I43" s="26">
        <v>32</v>
      </c>
      <c r="J43" s="26"/>
      <c r="K43" s="26">
        <v>659034</v>
      </c>
      <c r="L43" s="26">
        <v>653834</v>
      </c>
      <c r="M43" s="26">
        <v>648741</v>
      </c>
      <c r="N43" s="26">
        <v>644269</v>
      </c>
      <c r="O43" s="26">
        <v>639355</v>
      </c>
      <c r="P43" s="26">
        <v>633099</v>
      </c>
      <c r="Q43" s="26">
        <v>627883</v>
      </c>
      <c r="R43" s="26">
        <v>9.0654297391422597E-2</v>
      </c>
      <c r="S43" s="26">
        <f t="shared" si="1"/>
        <v>0.10773344015635006</v>
      </c>
      <c r="T43" s="26">
        <f t="shared" si="1"/>
        <v>9.7884172435205266E-2</v>
      </c>
      <c r="U43" s="26">
        <f t="shared" si="1"/>
        <v>6.9365124140450513E-2</v>
      </c>
      <c r="V43" s="26">
        <f t="shared" si="1"/>
        <v>6.5190161252520293E-2</v>
      </c>
      <c r="W43" s="26">
        <f t="shared" si="1"/>
        <v>9.2280501442860388E-2</v>
      </c>
      <c r="X43" s="26">
        <f t="shared" si="1"/>
        <v>6.9499398988151925E-2</v>
      </c>
      <c r="Y43" s="26">
        <f t="shared" si="1"/>
        <v>5.096490906745365E-2</v>
      </c>
      <c r="Z43" s="27">
        <v>0.379</v>
      </c>
      <c r="AA43" s="28">
        <v>0.373</v>
      </c>
      <c r="AB43" s="28">
        <v>0.36299999999999999</v>
      </c>
      <c r="AC43" s="28">
        <v>0.34499999999999997</v>
      </c>
      <c r="AD43" s="28">
        <v>0.34499999999999997</v>
      </c>
      <c r="AE43" s="28">
        <v>0.35199999999999998</v>
      </c>
      <c r="AF43" s="28">
        <v>0.35399999999999998</v>
      </c>
      <c r="AG43" s="28">
        <v>0.35499999999999998</v>
      </c>
      <c r="AH43" s="28">
        <v>6.6</v>
      </c>
      <c r="AI43" s="28">
        <v>7</v>
      </c>
      <c r="AJ43" s="28">
        <v>6.5</v>
      </c>
      <c r="AK43" s="28">
        <v>6.9</v>
      </c>
      <c r="AL43" s="28">
        <v>6.7</v>
      </c>
      <c r="AM43" s="28">
        <v>6.5</v>
      </c>
      <c r="AN43" s="28">
        <v>5.6</v>
      </c>
      <c r="AO43" s="28">
        <v>5.0999999999999996</v>
      </c>
      <c r="AP43" s="30">
        <v>9.8591549295774605</v>
      </c>
      <c r="AQ43" s="30">
        <v>11.9402985074627</v>
      </c>
      <c r="AR43" s="30">
        <v>8.8888888888888893</v>
      </c>
      <c r="AS43" s="30">
        <v>4.5454545454545503</v>
      </c>
      <c r="AT43" s="30">
        <v>5.0847457627118704</v>
      </c>
      <c r="AU43" s="30">
        <v>4.5454545454545503</v>
      </c>
      <c r="AV43" s="30">
        <v>6.25</v>
      </c>
    </row>
    <row r="44" spans="1:48" x14ac:dyDescent="0.3">
      <c r="A44" s="24" t="s">
        <v>48</v>
      </c>
      <c r="B44" s="25"/>
      <c r="C44" s="26">
        <v>50</v>
      </c>
      <c r="D44" s="26">
        <v>48</v>
      </c>
      <c r="E44" s="26">
        <v>40</v>
      </c>
      <c r="F44" s="26">
        <v>30</v>
      </c>
      <c r="G44" s="26">
        <v>38</v>
      </c>
      <c r="H44" s="26">
        <v>33</v>
      </c>
      <c r="I44" s="26">
        <v>22</v>
      </c>
      <c r="J44" s="26"/>
      <c r="K44" s="26">
        <v>210995</v>
      </c>
      <c r="L44" s="26">
        <v>212674</v>
      </c>
      <c r="M44" s="26">
        <v>214432</v>
      </c>
      <c r="N44" s="26">
        <v>216084</v>
      </c>
      <c r="O44" s="26">
        <v>217535</v>
      </c>
      <c r="P44" s="26">
        <v>218465</v>
      </c>
      <c r="Q44" s="26">
        <v>219524</v>
      </c>
      <c r="R44" s="26">
        <v>0.163549603632725</v>
      </c>
      <c r="S44" s="26">
        <f t="shared" si="1"/>
        <v>0.23697244010521576</v>
      </c>
      <c r="T44" s="26">
        <f t="shared" si="1"/>
        <v>0.22569754647958848</v>
      </c>
      <c r="U44" s="26">
        <f t="shared" si="1"/>
        <v>0.18653932248918073</v>
      </c>
      <c r="V44" s="26">
        <f t="shared" si="1"/>
        <v>0.13883489753984563</v>
      </c>
      <c r="W44" s="26">
        <f t="shared" si="1"/>
        <v>0.17468453352334107</v>
      </c>
      <c r="X44" s="26">
        <f t="shared" si="1"/>
        <v>0.15105394456777974</v>
      </c>
      <c r="Y44" s="26">
        <f t="shared" si="1"/>
        <v>0.10021683278365918</v>
      </c>
      <c r="Z44" s="27">
        <v>0.372</v>
      </c>
      <c r="AA44" s="28">
        <v>0.36699999999999999</v>
      </c>
      <c r="AB44" s="28">
        <v>0.36799999999999999</v>
      </c>
      <c r="AC44" s="28">
        <v>0.35499999999999998</v>
      </c>
      <c r="AD44" s="28">
        <v>0.35899999999999999</v>
      </c>
      <c r="AE44" s="28">
        <v>0.36599999999999999</v>
      </c>
      <c r="AF44" s="28">
        <v>0.377</v>
      </c>
      <c r="AG44" s="28">
        <v>0.374</v>
      </c>
      <c r="AH44" s="32">
        <v>11.6</v>
      </c>
      <c r="AI44" s="28">
        <v>11.5</v>
      </c>
      <c r="AJ44" s="28">
        <v>10.4</v>
      </c>
      <c r="AK44" s="28">
        <v>9.8000000000000007</v>
      </c>
      <c r="AL44" s="28">
        <v>12.1</v>
      </c>
      <c r="AM44" s="28">
        <v>12.1</v>
      </c>
      <c r="AN44" s="28">
        <v>11.3</v>
      </c>
      <c r="AO44" s="28">
        <v>10.9</v>
      </c>
      <c r="AP44" s="30">
        <v>2</v>
      </c>
      <c r="AQ44" s="30">
        <v>10.4166666666667</v>
      </c>
      <c r="AR44" s="30">
        <v>7.5</v>
      </c>
      <c r="AS44" s="30">
        <v>3.3333333333333299</v>
      </c>
      <c r="AT44" s="30">
        <v>2.6315789473684199</v>
      </c>
      <c r="AU44" s="30">
        <v>15.1515151515152</v>
      </c>
      <c r="AV44" s="30">
        <v>13.636363636363599</v>
      </c>
    </row>
    <row r="45" spans="1:48" x14ac:dyDescent="0.3">
      <c r="A45" s="24" t="s">
        <v>49</v>
      </c>
      <c r="B45" s="25"/>
      <c r="C45" s="26">
        <v>387</v>
      </c>
      <c r="D45" s="26">
        <v>388</v>
      </c>
      <c r="E45" s="26">
        <v>354</v>
      </c>
      <c r="F45" s="26">
        <v>318</v>
      </c>
      <c r="G45" s="26">
        <v>323</v>
      </c>
      <c r="H45" s="26">
        <v>254</v>
      </c>
      <c r="I45" s="26">
        <v>238</v>
      </c>
      <c r="J45" s="26"/>
      <c r="K45" s="26">
        <v>4065327</v>
      </c>
      <c r="L45" s="26">
        <v>4070842</v>
      </c>
      <c r="M45" s="26">
        <v>4071525</v>
      </c>
      <c r="N45" s="26">
        <v>4069018</v>
      </c>
      <c r="O45" s="26">
        <v>4065132</v>
      </c>
      <c r="P45" s="26">
        <v>4057149</v>
      </c>
      <c r="Q45" s="26">
        <v>4044578</v>
      </c>
      <c r="R45" s="26">
        <v>9.2263666985090795E-2</v>
      </c>
      <c r="S45" s="26">
        <f t="shared" si="1"/>
        <v>9.5195294253082222E-2</v>
      </c>
      <c r="T45" s="26">
        <f t="shared" si="1"/>
        <v>9.5311977227315631E-2</v>
      </c>
      <c r="U45" s="26">
        <f t="shared" si="1"/>
        <v>8.6945309190045506E-2</v>
      </c>
      <c r="V45" s="26">
        <f t="shared" si="1"/>
        <v>7.815153435054846E-2</v>
      </c>
      <c r="W45" s="26">
        <f t="shared" si="1"/>
        <v>7.945621445994866E-2</v>
      </c>
      <c r="X45" s="26">
        <f t="shared" si="1"/>
        <v>6.2605539012740227E-2</v>
      </c>
      <c r="Y45" s="26">
        <f t="shared" si="1"/>
        <v>5.8844210693921595E-2</v>
      </c>
      <c r="Z45" s="27">
        <v>0.42699999999999999</v>
      </c>
      <c r="AA45" s="28">
        <v>0.42699999999999999</v>
      </c>
      <c r="AB45" s="28">
        <v>0.42199999999999999</v>
      </c>
      <c r="AC45" s="28">
        <v>0.41</v>
      </c>
      <c r="AD45" s="28">
        <v>0.41199999999999998</v>
      </c>
      <c r="AE45" s="28">
        <v>0.41499999999999998</v>
      </c>
      <c r="AF45" s="28">
        <v>0.40899999999999997</v>
      </c>
      <c r="AG45" s="33">
        <v>0.40500000000000003</v>
      </c>
      <c r="AH45" s="19">
        <v>6.1</v>
      </c>
      <c r="AI45" s="34">
        <v>5.8</v>
      </c>
      <c r="AJ45" s="28">
        <v>5.3</v>
      </c>
      <c r="AK45" s="28">
        <v>6.1</v>
      </c>
      <c r="AL45" s="28">
        <v>5.8</v>
      </c>
      <c r="AM45" s="28">
        <v>5.6</v>
      </c>
      <c r="AN45" s="28">
        <v>4.9000000000000004</v>
      </c>
      <c r="AO45" s="28">
        <v>4.4000000000000004</v>
      </c>
      <c r="AP45" s="30">
        <v>7.9487179487179498</v>
      </c>
      <c r="AQ45" s="30">
        <v>7.3979591836734704</v>
      </c>
      <c r="AR45" s="30">
        <v>8.7323943661971803</v>
      </c>
      <c r="AS45" s="30">
        <v>6.875</v>
      </c>
      <c r="AT45" s="30">
        <v>3.3742331288343599</v>
      </c>
      <c r="AU45" s="30">
        <v>3.125</v>
      </c>
      <c r="AV45" s="30">
        <v>5.8333333333333304</v>
      </c>
    </row>
    <row r="46" spans="1:48" x14ac:dyDescent="0.3">
      <c r="A46" s="24" t="s">
        <v>50</v>
      </c>
      <c r="B46" s="25"/>
      <c r="C46" s="26">
        <v>172</v>
      </c>
      <c r="D46" s="26">
        <v>195</v>
      </c>
      <c r="E46" s="26">
        <v>220</v>
      </c>
      <c r="F46" s="26">
        <v>241</v>
      </c>
      <c r="G46" s="26">
        <v>286</v>
      </c>
      <c r="H46" s="26"/>
      <c r="I46" s="26"/>
      <c r="J46" s="26"/>
      <c r="K46" s="26">
        <v>972835</v>
      </c>
      <c r="L46" s="26">
        <v>976178</v>
      </c>
      <c r="M46" s="26">
        <v>980390</v>
      </c>
      <c r="N46" s="26">
        <v>983209</v>
      </c>
      <c r="O46" s="26">
        <v>984323</v>
      </c>
      <c r="P46" s="26">
        <v>983892</v>
      </c>
      <c r="Q46" s="26">
        <v>984605</v>
      </c>
      <c r="R46" s="26">
        <v>0.21517886099342601</v>
      </c>
      <c r="S46" s="26">
        <f t="shared" si="1"/>
        <v>0.17680284940406132</v>
      </c>
      <c r="T46" s="26">
        <f t="shared" si="1"/>
        <v>0.19975865057397318</v>
      </c>
      <c r="U46" s="26">
        <f t="shared" si="1"/>
        <v>0.22440049368108608</v>
      </c>
      <c r="V46" s="26">
        <f t="shared" si="1"/>
        <v>0.24511573836285064</v>
      </c>
      <c r="W46" s="26">
        <f t="shared" si="1"/>
        <v>0.2905550312245066</v>
      </c>
      <c r="X46" s="26"/>
      <c r="Y46" s="26"/>
      <c r="Z46" s="27">
        <v>0.41</v>
      </c>
      <c r="AA46" s="28">
        <v>0.40200000000000002</v>
      </c>
      <c r="AB46" s="28">
        <v>0.40200000000000002</v>
      </c>
      <c r="AC46" s="28">
        <v>0.39900000000000002</v>
      </c>
      <c r="AD46" s="28">
        <v>0.39900000000000002</v>
      </c>
      <c r="AE46" s="28">
        <v>0.39200000000000002</v>
      </c>
      <c r="AF46" s="28">
        <v>0.379</v>
      </c>
      <c r="AG46" s="28">
        <v>0.372</v>
      </c>
      <c r="AH46" s="29">
        <v>7.9</v>
      </c>
      <c r="AI46" s="28">
        <v>8</v>
      </c>
      <c r="AJ46" s="28">
        <v>8.4</v>
      </c>
      <c r="AK46" s="28">
        <v>9.1999999999999993</v>
      </c>
      <c r="AL46" s="28">
        <v>9.6</v>
      </c>
      <c r="AM46" s="28">
        <v>9.6</v>
      </c>
      <c r="AN46" s="28">
        <v>9.3000000000000007</v>
      </c>
      <c r="AO46" s="28">
        <v>9.1999999999999993</v>
      </c>
      <c r="AP46" s="30">
        <v>6.6666666666666696</v>
      </c>
      <c r="AQ46" s="30">
        <v>6.4676616915422898</v>
      </c>
      <c r="AR46" s="30">
        <v>5.3571428571428603</v>
      </c>
      <c r="AS46" s="30">
        <v>4.8582995951417001</v>
      </c>
      <c r="AT46" s="30">
        <v>4.4520547945205502</v>
      </c>
      <c r="AU46" s="30">
        <v>6.0109289617486299</v>
      </c>
      <c r="AV46" s="30">
        <v>6.0975609756097597</v>
      </c>
    </row>
    <row r="47" spans="1:48" x14ac:dyDescent="0.3">
      <c r="A47" s="24" t="s">
        <v>51</v>
      </c>
      <c r="B47" s="25"/>
      <c r="C47" s="26">
        <v>227</v>
      </c>
      <c r="D47" s="26">
        <v>148</v>
      </c>
      <c r="E47" s="26">
        <v>109</v>
      </c>
      <c r="F47" s="26">
        <v>102</v>
      </c>
      <c r="G47" s="26">
        <v>71</v>
      </c>
      <c r="H47" s="26">
        <v>82</v>
      </c>
      <c r="I47" s="26">
        <v>68</v>
      </c>
      <c r="J47" s="26"/>
      <c r="K47" s="26">
        <v>2954976</v>
      </c>
      <c r="L47" s="26">
        <v>2977144</v>
      </c>
      <c r="M47" s="26">
        <v>3003015</v>
      </c>
      <c r="N47" s="26">
        <v>3028780</v>
      </c>
      <c r="O47" s="26">
        <v>3052892</v>
      </c>
      <c r="P47" s="26">
        <v>3075006</v>
      </c>
      <c r="Q47" s="26">
        <v>3098492</v>
      </c>
      <c r="R47" s="26">
        <v>7.2347201352111506E-2</v>
      </c>
      <c r="S47" s="26">
        <f t="shared" si="1"/>
        <v>7.6819574845954752E-2</v>
      </c>
      <c r="T47" s="26">
        <f t="shared" si="1"/>
        <v>4.9712073047188853E-2</v>
      </c>
      <c r="U47" s="26">
        <f t="shared" si="1"/>
        <v>3.62968549940643E-2</v>
      </c>
      <c r="V47" s="26">
        <f t="shared" si="1"/>
        <v>3.3676926023019173E-2</v>
      </c>
      <c r="W47" s="26">
        <f t="shared" si="1"/>
        <v>2.3256636657962352E-2</v>
      </c>
      <c r="X47" s="26">
        <f t="shared" si="1"/>
        <v>2.6666614634247868E-2</v>
      </c>
      <c r="Y47" s="26">
        <f t="shared" si="1"/>
        <v>2.1946159615709837E-2</v>
      </c>
      <c r="Z47" s="27">
        <v>0.40699999999999997</v>
      </c>
      <c r="AA47" s="28">
        <v>0.39</v>
      </c>
      <c r="AB47" s="28">
        <v>0.38900000000000001</v>
      </c>
      <c r="AC47" s="28">
        <v>0.38500000000000001</v>
      </c>
      <c r="AD47" s="28">
        <v>0.38100000000000001</v>
      </c>
      <c r="AE47" s="28">
        <v>0.39300000000000002</v>
      </c>
      <c r="AF47" s="28">
        <v>0.39</v>
      </c>
      <c r="AG47" s="28">
        <v>0.39200000000000002</v>
      </c>
      <c r="AH47" s="28">
        <v>11.7</v>
      </c>
      <c r="AI47" s="28">
        <v>11.6</v>
      </c>
      <c r="AJ47" s="28">
        <v>10.199999999999999</v>
      </c>
      <c r="AK47" s="28">
        <v>10.8</v>
      </c>
      <c r="AL47" s="28">
        <v>10.9</v>
      </c>
      <c r="AM47" s="28">
        <v>12.1</v>
      </c>
      <c r="AN47" s="28">
        <v>11.6</v>
      </c>
      <c r="AO47" s="28">
        <v>13.1</v>
      </c>
      <c r="AP47" s="30">
        <v>29.824561403508799</v>
      </c>
      <c r="AQ47" s="30">
        <v>31.081081081081098</v>
      </c>
      <c r="AR47" s="30">
        <v>20.720720720720699</v>
      </c>
      <c r="AS47" s="30">
        <v>20.192307692307701</v>
      </c>
      <c r="AT47" s="30">
        <v>22.5352112676056</v>
      </c>
      <c r="AU47" s="30">
        <v>13.253012048192801</v>
      </c>
      <c r="AV47" s="30">
        <v>15.9420289855072</v>
      </c>
    </row>
    <row r="48" spans="1:48" x14ac:dyDescent="0.3">
      <c r="A48" s="24" t="s">
        <v>52</v>
      </c>
      <c r="B48" s="25"/>
      <c r="C48" s="26">
        <v>25</v>
      </c>
      <c r="D48" s="26">
        <v>25</v>
      </c>
      <c r="E48" s="26">
        <v>22</v>
      </c>
      <c r="F48" s="26">
        <v>27</v>
      </c>
      <c r="G48" s="26">
        <v>23</v>
      </c>
      <c r="H48" s="26">
        <v>19</v>
      </c>
      <c r="I48" s="26">
        <v>21</v>
      </c>
      <c r="J48" s="26"/>
      <c r="K48" s="26">
        <v>283081</v>
      </c>
      <c r="L48" s="26">
        <v>281293</v>
      </c>
      <c r="M48" s="26">
        <v>279649</v>
      </c>
      <c r="N48" s="26">
        <v>278268</v>
      </c>
      <c r="O48" s="26">
        <v>276608</v>
      </c>
      <c r="P48" s="26">
        <v>274030</v>
      </c>
      <c r="Q48" s="26">
        <v>271891</v>
      </c>
      <c r="R48" s="26">
        <v>5.0613458118513699E-2</v>
      </c>
      <c r="S48" s="26">
        <f t="shared" si="1"/>
        <v>8.8313945478502631E-2</v>
      </c>
      <c r="T48" s="26">
        <f t="shared" si="1"/>
        <v>8.8875300842893357E-2</v>
      </c>
      <c r="U48" s="26">
        <f t="shared" si="1"/>
        <v>7.8670047094750908E-2</v>
      </c>
      <c r="V48" s="26">
        <f t="shared" si="1"/>
        <v>9.7028763637931767E-2</v>
      </c>
      <c r="W48" s="26">
        <f t="shared" si="1"/>
        <v>8.3150161962054603E-2</v>
      </c>
      <c r="X48" s="26">
        <f t="shared" si="1"/>
        <v>6.9335474218151297E-2</v>
      </c>
      <c r="Y48" s="26">
        <f t="shared" si="1"/>
        <v>7.7236833878282105E-2</v>
      </c>
      <c r="Z48" s="27">
        <v>0.38300000000000001</v>
      </c>
      <c r="AA48" s="28">
        <v>0.375</v>
      </c>
      <c r="AB48" s="28">
        <v>0.375</v>
      </c>
      <c r="AC48" s="28">
        <v>0.36599999999999999</v>
      </c>
      <c r="AD48" s="28">
        <v>0.36</v>
      </c>
      <c r="AE48" s="28">
        <v>0.34399999999999997</v>
      </c>
      <c r="AF48" s="28">
        <v>0.34100000000000003</v>
      </c>
      <c r="AG48" s="28">
        <v>0.33800000000000002</v>
      </c>
      <c r="AH48" s="28">
        <v>13.1</v>
      </c>
      <c r="AI48" s="28">
        <v>12.5</v>
      </c>
      <c r="AJ48" s="28">
        <v>10.9</v>
      </c>
      <c r="AK48" s="28">
        <v>10.7</v>
      </c>
      <c r="AL48" s="28">
        <v>10.6</v>
      </c>
      <c r="AM48" s="28">
        <v>10</v>
      </c>
      <c r="AN48" s="28">
        <v>9.6999999999999993</v>
      </c>
      <c r="AO48" s="28">
        <v>9.1999999999999993</v>
      </c>
      <c r="AP48" s="30">
        <v>3.8461538461538498</v>
      </c>
      <c r="AQ48" s="30">
        <v>3.8461538461538498</v>
      </c>
      <c r="AR48" s="30">
        <v>22.727272727272702</v>
      </c>
      <c r="AS48" s="30">
        <v>7.1428571428571397</v>
      </c>
      <c r="AT48" s="30">
        <v>0</v>
      </c>
      <c r="AU48" s="30">
        <v>10.526315789473699</v>
      </c>
      <c r="AV48" s="30">
        <v>0</v>
      </c>
    </row>
    <row r="49" spans="1:48" x14ac:dyDescent="0.3">
      <c r="A49" s="24" t="s">
        <v>53</v>
      </c>
      <c r="B49" s="25"/>
      <c r="C49" s="26">
        <v>64</v>
      </c>
      <c r="D49" s="26">
        <v>78</v>
      </c>
      <c r="E49" s="26">
        <v>64</v>
      </c>
      <c r="F49" s="26">
        <v>62</v>
      </c>
      <c r="G49" s="26">
        <v>53</v>
      </c>
      <c r="H49" s="26">
        <v>47</v>
      </c>
      <c r="I49" s="26">
        <v>43</v>
      </c>
      <c r="J49" s="26"/>
      <c r="K49" s="26">
        <v>635667</v>
      </c>
      <c r="L49" s="26">
        <v>633468</v>
      </c>
      <c r="M49" s="26">
        <v>631204</v>
      </c>
      <c r="N49" s="26">
        <v>628479</v>
      </c>
      <c r="O49" s="26">
        <v>624784</v>
      </c>
      <c r="P49" s="26">
        <v>620270</v>
      </c>
      <c r="Q49" s="26">
        <v>616060</v>
      </c>
      <c r="R49" s="26">
        <v>0.115802069698809</v>
      </c>
      <c r="S49" s="26">
        <f t="shared" si="1"/>
        <v>0.10068164620784154</v>
      </c>
      <c r="T49" s="26">
        <f t="shared" si="1"/>
        <v>0.12313171304627858</v>
      </c>
      <c r="U49" s="26">
        <f t="shared" si="1"/>
        <v>0.10139352729070157</v>
      </c>
      <c r="V49" s="26">
        <f t="shared" si="1"/>
        <v>9.865086979835444E-2</v>
      </c>
      <c r="W49" s="26">
        <f t="shared" si="1"/>
        <v>8.4829317011959338E-2</v>
      </c>
      <c r="X49" s="26">
        <f t="shared" si="1"/>
        <v>7.5773453496058171E-2</v>
      </c>
      <c r="Y49" s="26">
        <f t="shared" si="1"/>
        <v>6.9798396260104534E-2</v>
      </c>
      <c r="Z49" s="28">
        <v>0.373</v>
      </c>
      <c r="AA49" s="28">
        <v>0.372</v>
      </c>
      <c r="AB49" s="28">
        <v>0.36</v>
      </c>
      <c r="AC49" s="28">
        <v>0.34699999999999998</v>
      </c>
      <c r="AD49" s="28">
        <v>0.34699999999999998</v>
      </c>
      <c r="AE49" s="28">
        <v>0.35199999999999998</v>
      </c>
      <c r="AF49" s="28">
        <v>0.35699999999999998</v>
      </c>
      <c r="AG49" s="28">
        <v>0.35899999999999999</v>
      </c>
      <c r="AH49" s="31">
        <v>7</v>
      </c>
      <c r="AI49" s="28">
        <v>8.1999999999999993</v>
      </c>
      <c r="AJ49" s="28">
        <v>8.1</v>
      </c>
      <c r="AK49" s="28">
        <v>8.8000000000000007</v>
      </c>
      <c r="AL49" s="28">
        <v>9.1999999999999993</v>
      </c>
      <c r="AM49" s="28">
        <v>8.6</v>
      </c>
      <c r="AN49" s="28">
        <v>8.6999999999999993</v>
      </c>
      <c r="AO49" s="28">
        <v>7.4</v>
      </c>
      <c r="AP49" s="30">
        <v>6.0606060606060597</v>
      </c>
      <c r="AQ49" s="30">
        <v>5.1282051282051304</v>
      </c>
      <c r="AR49" s="30">
        <v>3.125</v>
      </c>
      <c r="AS49" s="30">
        <v>3.17460317460317</v>
      </c>
      <c r="AT49" s="30">
        <v>5.6603773584905701</v>
      </c>
      <c r="AU49" s="30">
        <v>8.5106382978723403</v>
      </c>
      <c r="AV49" s="30">
        <v>6.8181818181818201</v>
      </c>
    </row>
    <row r="50" spans="1:48" x14ac:dyDescent="0.3">
      <c r="A50" s="24" t="s">
        <v>54</v>
      </c>
      <c r="B50" s="25"/>
      <c r="C50" s="26">
        <v>110</v>
      </c>
      <c r="D50" s="26">
        <v>104</v>
      </c>
      <c r="E50" s="26">
        <v>84</v>
      </c>
      <c r="F50" s="26">
        <v>118</v>
      </c>
      <c r="G50" s="26">
        <v>84</v>
      </c>
      <c r="H50" s="26">
        <v>85</v>
      </c>
      <c r="I50" s="26">
        <v>65</v>
      </c>
      <c r="J50" s="26"/>
      <c r="K50" s="26">
        <v>876348</v>
      </c>
      <c r="L50" s="26">
        <v>868240</v>
      </c>
      <c r="M50" s="26">
        <v>860627</v>
      </c>
      <c r="N50" s="26">
        <v>853693</v>
      </c>
      <c r="O50" s="26">
        <v>845713</v>
      </c>
      <c r="P50" s="26">
        <v>835554</v>
      </c>
      <c r="Q50" s="26">
        <v>825354</v>
      </c>
      <c r="R50" s="26">
        <v>8.88360103113226E-2</v>
      </c>
      <c r="S50" s="26">
        <f t="shared" si="1"/>
        <v>0.12552091178390318</v>
      </c>
      <c r="T50" s="26">
        <f t="shared" si="1"/>
        <v>0.11978254860407261</v>
      </c>
      <c r="U50" s="26">
        <f t="shared" si="1"/>
        <v>9.7603259019296396E-2</v>
      </c>
      <c r="V50" s="26">
        <f t="shared" si="1"/>
        <v>0.13822299116895653</v>
      </c>
      <c r="W50" s="26">
        <f t="shared" si="1"/>
        <v>9.9324475324371261E-2</v>
      </c>
      <c r="X50" s="26">
        <f t="shared" si="1"/>
        <v>0.10172891279318871</v>
      </c>
      <c r="Y50" s="26">
        <f t="shared" si="1"/>
        <v>7.8754086125468581E-2</v>
      </c>
      <c r="Z50" s="28">
        <v>0.42599999999999999</v>
      </c>
      <c r="AA50" s="28">
        <v>0.42099999999999999</v>
      </c>
      <c r="AB50" s="28">
        <v>0.40300000000000002</v>
      </c>
      <c r="AC50" s="28">
        <v>0.4</v>
      </c>
      <c r="AD50" s="28">
        <v>0.39400000000000002</v>
      </c>
      <c r="AE50" s="28">
        <v>0.39100000000000001</v>
      </c>
      <c r="AF50" s="28">
        <v>0.39300000000000002</v>
      </c>
      <c r="AG50" s="28">
        <v>0.39</v>
      </c>
      <c r="AH50" s="28">
        <v>6.4</v>
      </c>
      <c r="AI50" s="28">
        <v>7.1</v>
      </c>
      <c r="AJ50" s="28">
        <v>6</v>
      </c>
      <c r="AK50" s="28">
        <v>7</v>
      </c>
      <c r="AL50" s="28">
        <v>8.6999999999999993</v>
      </c>
      <c r="AM50" s="28">
        <v>7.8</v>
      </c>
      <c r="AN50" s="28">
        <v>7.4</v>
      </c>
      <c r="AO50" s="28">
        <v>6.8</v>
      </c>
      <c r="AP50" s="30">
        <v>9.5652173913043494</v>
      </c>
      <c r="AQ50" s="30">
        <v>8.5714285714285694</v>
      </c>
      <c r="AR50" s="30">
        <v>9.5238095238095202</v>
      </c>
      <c r="AS50" s="30">
        <v>5.9322033898305104</v>
      </c>
      <c r="AT50" s="30">
        <v>9.5238095238095202</v>
      </c>
      <c r="AU50" s="30">
        <v>7.0588235294117601</v>
      </c>
      <c r="AV50" s="30">
        <v>6.0606060606060597</v>
      </c>
    </row>
    <row r="51" spans="1:48" x14ac:dyDescent="0.3">
      <c r="A51" s="24" t="s">
        <v>55</v>
      </c>
      <c r="B51" s="25"/>
      <c r="C51" s="26"/>
      <c r="D51" s="26"/>
      <c r="E51" s="26"/>
      <c r="F51" s="26">
        <v>102</v>
      </c>
      <c r="G51" s="26">
        <v>83</v>
      </c>
      <c r="H51" s="26">
        <v>94</v>
      </c>
      <c r="I51" s="26">
        <v>73</v>
      </c>
      <c r="J51" s="26"/>
      <c r="K51" s="26"/>
      <c r="L51" s="26">
        <v>1884473</v>
      </c>
      <c r="M51" s="26">
        <v>1901511</v>
      </c>
      <c r="N51" s="26">
        <v>1909637</v>
      </c>
      <c r="O51" s="26">
        <v>1912950</v>
      </c>
      <c r="P51" s="26">
        <v>1912775</v>
      </c>
      <c r="Q51" s="26">
        <v>1912220</v>
      </c>
      <c r="R51" s="26"/>
      <c r="S51" s="26"/>
      <c r="T51" s="26"/>
      <c r="U51" s="26"/>
      <c r="V51" s="26">
        <f t="shared" si="1"/>
        <v>5.3413292683373852E-2</v>
      </c>
      <c r="W51" s="26">
        <f t="shared" si="1"/>
        <v>4.3388483755456231E-2</v>
      </c>
      <c r="X51" s="26">
        <f t="shared" si="1"/>
        <v>4.9143260446210348E-2</v>
      </c>
      <c r="Y51" s="26">
        <f t="shared" si="1"/>
        <v>3.8175523736808527E-2</v>
      </c>
      <c r="Z51" s="26"/>
      <c r="AA51" s="26"/>
      <c r="AB51" s="26"/>
      <c r="AC51" s="28">
        <v>0.308</v>
      </c>
      <c r="AD51" s="28">
        <v>0.32700000000000001</v>
      </c>
      <c r="AE51" s="28">
        <v>0.33800000000000002</v>
      </c>
      <c r="AF51" s="28">
        <v>0.34499999999999997</v>
      </c>
      <c r="AG51" s="28">
        <v>0.33300000000000002</v>
      </c>
      <c r="AH51" s="28"/>
      <c r="AI51" s="28"/>
      <c r="AJ51" s="28"/>
      <c r="AK51" s="28">
        <v>7.2</v>
      </c>
      <c r="AL51" s="28">
        <v>6.8</v>
      </c>
      <c r="AM51" s="28">
        <v>6.4</v>
      </c>
      <c r="AN51" s="28">
        <v>6</v>
      </c>
      <c r="AO51" s="28">
        <v>5.6</v>
      </c>
      <c r="AP51" s="35"/>
      <c r="AQ51" s="35"/>
      <c r="AR51" s="30">
        <v>30.147058823529399</v>
      </c>
      <c r="AS51" s="30">
        <v>34.313725490196099</v>
      </c>
      <c r="AT51" s="30">
        <v>14.285714285714301</v>
      </c>
      <c r="AU51" s="30">
        <v>6.3157894736842097</v>
      </c>
      <c r="AV51" s="30">
        <v>15.068493150684899</v>
      </c>
    </row>
    <row r="52" spans="1:48" x14ac:dyDescent="0.3">
      <c r="A52" s="24" t="s">
        <v>56</v>
      </c>
      <c r="B52" s="25"/>
      <c r="C52" s="26">
        <v>60</v>
      </c>
      <c r="D52" s="26">
        <v>52</v>
      </c>
      <c r="E52" s="26">
        <v>51</v>
      </c>
      <c r="F52" s="26">
        <v>48</v>
      </c>
      <c r="G52" s="26">
        <v>49</v>
      </c>
      <c r="H52" s="26">
        <v>46</v>
      </c>
      <c r="I52" s="26">
        <v>49</v>
      </c>
      <c r="J52" s="26"/>
      <c r="K52" s="26">
        <v>689518</v>
      </c>
      <c r="L52" s="26">
        <v>688061</v>
      </c>
      <c r="M52" s="26">
        <v>686650</v>
      </c>
      <c r="N52" s="26">
        <v>685275</v>
      </c>
      <c r="O52" s="26">
        <v>683509</v>
      </c>
      <c r="P52" s="26">
        <v>681357</v>
      </c>
      <c r="Q52" s="26">
        <v>679899</v>
      </c>
      <c r="R52" s="26">
        <v>0.10691911135769901</v>
      </c>
      <c r="S52" s="26">
        <f t="shared" ref="S52:Y78" si="2">C52/K52*1000</f>
        <v>8.7017307742509986E-2</v>
      </c>
      <c r="T52" s="26">
        <f t="shared" si="2"/>
        <v>7.5574694685500265E-2</v>
      </c>
      <c r="U52" s="26">
        <f t="shared" si="2"/>
        <v>7.4273647418626673E-2</v>
      </c>
      <c r="V52" s="26">
        <f t="shared" si="1"/>
        <v>7.0044872496443034E-2</v>
      </c>
      <c r="W52" s="26">
        <f t="shared" si="1"/>
        <v>7.1688887783482008E-2</v>
      </c>
      <c r="X52" s="26">
        <f t="shared" si="1"/>
        <v>6.7512332008036913E-2</v>
      </c>
      <c r="Y52" s="26">
        <f t="shared" si="1"/>
        <v>7.2069527974007896E-2</v>
      </c>
      <c r="Z52" s="27">
        <v>0.38900000000000001</v>
      </c>
      <c r="AA52" s="28">
        <v>0.38900000000000001</v>
      </c>
      <c r="AB52" s="28">
        <v>0.38200000000000001</v>
      </c>
      <c r="AC52" s="28">
        <v>0.371</v>
      </c>
      <c r="AD52" s="28">
        <v>0.371</v>
      </c>
      <c r="AE52" s="28">
        <v>0.36599999999999999</v>
      </c>
      <c r="AF52" s="28">
        <v>0.36899999999999999</v>
      </c>
      <c r="AG52" s="28">
        <v>0.36199999999999999</v>
      </c>
      <c r="AH52" s="28">
        <v>6.5</v>
      </c>
      <c r="AI52" s="28">
        <v>5.2</v>
      </c>
      <c r="AJ52" s="28">
        <v>4.8</v>
      </c>
      <c r="AK52" s="28">
        <v>5.3</v>
      </c>
      <c r="AL52" s="28">
        <v>6</v>
      </c>
      <c r="AM52" s="28">
        <v>6.1</v>
      </c>
      <c r="AN52" s="28">
        <v>5</v>
      </c>
      <c r="AO52" s="28">
        <v>4.5999999999999996</v>
      </c>
      <c r="AP52" s="30">
        <v>3.3333333333333299</v>
      </c>
      <c r="AQ52" s="30">
        <v>11.1111111111111</v>
      </c>
      <c r="AR52" s="30">
        <v>7.8431372549019596</v>
      </c>
      <c r="AS52" s="30">
        <v>2.0833333333333299</v>
      </c>
      <c r="AT52" s="30">
        <v>2.0408163265306101</v>
      </c>
      <c r="AU52" s="30">
        <v>8.6956521739130395</v>
      </c>
      <c r="AV52" s="30">
        <v>4.0816326530612201</v>
      </c>
    </row>
    <row r="53" spans="1:48" x14ac:dyDescent="0.3">
      <c r="A53" s="24" t="s">
        <v>57</v>
      </c>
      <c r="B53" s="25"/>
      <c r="C53" s="26">
        <v>45</v>
      </c>
      <c r="D53" s="26">
        <v>32</v>
      </c>
      <c r="E53" s="26">
        <v>48</v>
      </c>
      <c r="F53" s="26">
        <v>36</v>
      </c>
      <c r="G53" s="26">
        <v>44</v>
      </c>
      <c r="H53" s="26">
        <v>33</v>
      </c>
      <c r="I53" s="26">
        <v>28</v>
      </c>
      <c r="J53" s="26"/>
      <c r="K53" s="26">
        <v>815361</v>
      </c>
      <c r="L53" s="26">
        <v>810522</v>
      </c>
      <c r="M53" s="26">
        <v>808171</v>
      </c>
      <c r="N53" s="26">
        <v>807997</v>
      </c>
      <c r="O53" s="26">
        <v>806799</v>
      </c>
      <c r="P53" s="26">
        <v>800280</v>
      </c>
      <c r="Q53" s="26">
        <v>792851</v>
      </c>
      <c r="R53" s="26">
        <v>5.2226995526697101E-2</v>
      </c>
      <c r="S53" s="26">
        <f t="shared" si="2"/>
        <v>5.5190277680683769E-2</v>
      </c>
      <c r="T53" s="26">
        <f t="shared" si="2"/>
        <v>3.9480729702586724E-2</v>
      </c>
      <c r="U53" s="26">
        <f t="shared" si="2"/>
        <v>5.939337095738402E-2</v>
      </c>
      <c r="V53" s="26">
        <f t="shared" si="1"/>
        <v>4.4554620871117091E-2</v>
      </c>
      <c r="W53" s="26">
        <f t="shared" si="1"/>
        <v>5.4536507853876863E-2</v>
      </c>
      <c r="X53" s="26">
        <f t="shared" si="1"/>
        <v>4.123556755135703E-2</v>
      </c>
      <c r="Y53" s="26">
        <f t="shared" si="1"/>
        <v>3.5315588931589918E-2</v>
      </c>
      <c r="Z53" s="27">
        <v>0.375</v>
      </c>
      <c r="AA53" s="28">
        <v>0.36499999999999999</v>
      </c>
      <c r="AB53" s="28">
        <v>0.36599999999999999</v>
      </c>
      <c r="AC53" s="28">
        <v>0.35699999999999998</v>
      </c>
      <c r="AD53" s="28">
        <v>0.36099999999999999</v>
      </c>
      <c r="AE53" s="28">
        <v>0.35499999999999998</v>
      </c>
      <c r="AF53" s="28">
        <v>0.34799999999999998</v>
      </c>
      <c r="AG53" s="28">
        <v>0.34399999999999997</v>
      </c>
      <c r="AH53" s="28">
        <v>4.9000000000000004</v>
      </c>
      <c r="AI53" s="28">
        <v>4.4000000000000004</v>
      </c>
      <c r="AJ53" s="28">
        <v>4.2</v>
      </c>
      <c r="AK53" s="28">
        <v>4.2</v>
      </c>
      <c r="AL53" s="28">
        <v>4.2</v>
      </c>
      <c r="AM53" s="28">
        <v>4.2</v>
      </c>
      <c r="AN53" s="28">
        <v>4.2</v>
      </c>
      <c r="AO53" s="28">
        <v>4.2</v>
      </c>
      <c r="AP53" s="30">
        <v>11.1111111111111</v>
      </c>
      <c r="AQ53" s="30">
        <v>20.588235294117599</v>
      </c>
      <c r="AR53" s="30">
        <v>4.0816326530612201</v>
      </c>
      <c r="AS53" s="30">
        <v>9.7560975609756095</v>
      </c>
      <c r="AT53" s="30">
        <v>11.1111111111111</v>
      </c>
      <c r="AU53" s="30">
        <v>6.0606060606060597</v>
      </c>
      <c r="AV53" s="30">
        <v>10.714285714285699</v>
      </c>
    </row>
    <row r="54" spans="1:48" x14ac:dyDescent="0.3">
      <c r="A54" s="24" t="s">
        <v>58</v>
      </c>
      <c r="B54" s="25"/>
      <c r="C54" s="26">
        <v>162</v>
      </c>
      <c r="D54" s="26">
        <v>142</v>
      </c>
      <c r="E54" s="26">
        <v>128</v>
      </c>
      <c r="F54" s="26">
        <v>143</v>
      </c>
      <c r="G54" s="26">
        <v>136</v>
      </c>
      <c r="H54" s="26">
        <v>111</v>
      </c>
      <c r="I54" s="26">
        <v>106</v>
      </c>
      <c r="J54" s="26"/>
      <c r="K54" s="26">
        <v>955191</v>
      </c>
      <c r="L54" s="26">
        <v>955849</v>
      </c>
      <c r="M54" s="26">
        <v>958292</v>
      </c>
      <c r="N54" s="26">
        <v>961262</v>
      </c>
      <c r="O54" s="26">
        <v>963582</v>
      </c>
      <c r="P54" s="26">
        <v>965669</v>
      </c>
      <c r="Q54" s="26">
        <v>969503</v>
      </c>
      <c r="R54" s="26">
        <v>0.17043648470045</v>
      </c>
      <c r="S54" s="26">
        <f t="shared" si="2"/>
        <v>0.16959958793581598</v>
      </c>
      <c r="T54" s="26">
        <f t="shared" si="2"/>
        <v>0.14855902972122167</v>
      </c>
      <c r="U54" s="26">
        <f t="shared" si="2"/>
        <v>0.13357097836567561</v>
      </c>
      <c r="V54" s="26">
        <f t="shared" si="1"/>
        <v>0.14876277227228374</v>
      </c>
      <c r="W54" s="26">
        <f t="shared" si="1"/>
        <v>0.14114003790025134</v>
      </c>
      <c r="X54" s="26">
        <f t="shared" si="1"/>
        <v>0.11494621863185005</v>
      </c>
      <c r="Y54" s="26">
        <f t="shared" si="1"/>
        <v>0.10933437029075722</v>
      </c>
      <c r="Z54" s="27">
        <v>0.40500000000000003</v>
      </c>
      <c r="AA54" s="28">
        <v>0.40200000000000002</v>
      </c>
      <c r="AB54" s="28">
        <v>0.39700000000000002</v>
      </c>
      <c r="AC54" s="28">
        <v>0.39400000000000002</v>
      </c>
      <c r="AD54" s="28">
        <v>0.39400000000000002</v>
      </c>
      <c r="AE54" s="28">
        <v>0.39600000000000002</v>
      </c>
      <c r="AF54" s="28">
        <v>0.40500000000000003</v>
      </c>
      <c r="AG54" s="28">
        <v>0.40400000000000003</v>
      </c>
      <c r="AH54" s="31">
        <v>8</v>
      </c>
      <c r="AI54" s="28">
        <v>7.4</v>
      </c>
      <c r="AJ54" s="28">
        <v>7.4</v>
      </c>
      <c r="AK54" s="28">
        <v>7.3</v>
      </c>
      <c r="AL54" s="28">
        <v>7.2</v>
      </c>
      <c r="AM54" s="28">
        <v>7.2</v>
      </c>
      <c r="AN54" s="28">
        <v>7</v>
      </c>
      <c r="AO54" s="28">
        <v>6.9</v>
      </c>
      <c r="AP54" s="30">
        <v>7.3619631901840501</v>
      </c>
      <c r="AQ54" s="30">
        <v>5.5555555555555598</v>
      </c>
      <c r="AR54" s="30">
        <v>4.5801526717557204</v>
      </c>
      <c r="AS54" s="30">
        <v>4.8951048951048897</v>
      </c>
      <c r="AT54" s="30">
        <v>4.3795620437956204</v>
      </c>
      <c r="AU54" s="30">
        <v>3.6036036036036001</v>
      </c>
      <c r="AV54" s="30">
        <v>4.7169811320754702</v>
      </c>
    </row>
    <row r="55" spans="1:48" x14ac:dyDescent="0.3">
      <c r="A55" s="24" t="s">
        <v>59</v>
      </c>
      <c r="B55" s="25"/>
      <c r="C55" s="26">
        <v>278</v>
      </c>
      <c r="D55" s="26">
        <v>289</v>
      </c>
      <c r="E55" s="26">
        <v>264</v>
      </c>
      <c r="F55" s="26">
        <v>282</v>
      </c>
      <c r="G55" s="26">
        <v>272</v>
      </c>
      <c r="H55" s="26">
        <v>240</v>
      </c>
      <c r="I55" s="26">
        <v>205</v>
      </c>
      <c r="J55" s="26"/>
      <c r="K55" s="26">
        <v>3830134</v>
      </c>
      <c r="L55" s="26">
        <v>3846633</v>
      </c>
      <c r="M55" s="26">
        <v>3861883</v>
      </c>
      <c r="N55" s="26">
        <v>3876991</v>
      </c>
      <c r="O55" s="26">
        <v>3889768</v>
      </c>
      <c r="P55" s="26">
        <v>3896456</v>
      </c>
      <c r="Q55" s="26">
        <v>3900758</v>
      </c>
      <c r="R55" s="26">
        <v>7.5518082791859106E-2</v>
      </c>
      <c r="S55" s="26">
        <f t="shared" si="2"/>
        <v>7.2582316963322957E-2</v>
      </c>
      <c r="T55" s="26">
        <f t="shared" si="2"/>
        <v>7.5130640224840783E-2</v>
      </c>
      <c r="U55" s="26">
        <f t="shared" si="2"/>
        <v>6.8360434534137884E-2</v>
      </c>
      <c r="V55" s="26">
        <f t="shared" si="2"/>
        <v>7.2736820900538582E-2</v>
      </c>
      <c r="W55" s="26">
        <f t="shared" si="2"/>
        <v>6.9927049633808497E-2</v>
      </c>
      <c r="X55" s="26">
        <f t="shared" si="2"/>
        <v>6.1594433505729317E-2</v>
      </c>
      <c r="Y55" s="26">
        <f t="shared" si="2"/>
        <v>5.2553888244284828E-2</v>
      </c>
      <c r="Z55" s="27">
        <v>0.42399999999999999</v>
      </c>
      <c r="AA55" s="28">
        <v>0.42199999999999999</v>
      </c>
      <c r="AB55" s="28">
        <v>0.41799999999999998</v>
      </c>
      <c r="AC55" s="28">
        <v>0.41599999999999998</v>
      </c>
      <c r="AD55" s="28">
        <v>0.41199999999999998</v>
      </c>
      <c r="AE55" s="28">
        <v>0.39600000000000002</v>
      </c>
      <c r="AF55" s="28">
        <v>0.39500000000000002</v>
      </c>
      <c r="AG55" s="28">
        <v>0.39400000000000002</v>
      </c>
      <c r="AH55" s="28">
        <v>4.0999999999999996</v>
      </c>
      <c r="AI55" s="28">
        <v>4</v>
      </c>
      <c r="AJ55" s="28">
        <v>3.9</v>
      </c>
      <c r="AK55" s="28">
        <v>4</v>
      </c>
      <c r="AL55" s="28">
        <v>3.8</v>
      </c>
      <c r="AM55" s="28">
        <v>3.5</v>
      </c>
      <c r="AN55" s="28">
        <v>3.3</v>
      </c>
      <c r="AO55" s="28">
        <v>3.3</v>
      </c>
      <c r="AP55" s="30">
        <v>12.7659574468085</v>
      </c>
      <c r="AQ55" s="30">
        <v>8.2191780821917799</v>
      </c>
      <c r="AR55" s="30">
        <v>7.8066914498141298</v>
      </c>
      <c r="AS55" s="30">
        <v>8.4507042253521103</v>
      </c>
      <c r="AT55" s="30">
        <v>4.7101449275362297</v>
      </c>
      <c r="AU55" s="30">
        <v>4.8979591836734704</v>
      </c>
      <c r="AV55" s="30">
        <v>5.2884615384615401</v>
      </c>
    </row>
    <row r="56" spans="1:48" x14ac:dyDescent="0.3">
      <c r="A56" s="24" t="s">
        <v>60</v>
      </c>
      <c r="B56" s="25"/>
      <c r="C56" s="26">
        <v>119</v>
      </c>
      <c r="D56" s="26">
        <v>138</v>
      </c>
      <c r="E56" s="26">
        <v>128</v>
      </c>
      <c r="F56" s="26">
        <v>111</v>
      </c>
      <c r="G56" s="26">
        <v>83</v>
      </c>
      <c r="H56" s="26">
        <v>88</v>
      </c>
      <c r="I56" s="26">
        <v>114</v>
      </c>
      <c r="J56" s="26"/>
      <c r="K56" s="26">
        <v>311111</v>
      </c>
      <c r="L56" s="26">
        <v>312769</v>
      </c>
      <c r="M56" s="26">
        <v>314707</v>
      </c>
      <c r="N56" s="26">
        <v>317094</v>
      </c>
      <c r="O56" s="26">
        <v>320136</v>
      </c>
      <c r="P56" s="26">
        <v>323073</v>
      </c>
      <c r="Q56" s="26">
        <v>325903</v>
      </c>
      <c r="R56" s="26">
        <v>0.48325209328698399</v>
      </c>
      <c r="S56" s="26">
        <f t="shared" si="2"/>
        <v>0.38250013660719162</v>
      </c>
      <c r="T56" s="26">
        <f t="shared" si="2"/>
        <v>0.44122019765385956</v>
      </c>
      <c r="U56" s="26">
        <f t="shared" si="2"/>
        <v>0.40672752750971541</v>
      </c>
      <c r="V56" s="26">
        <f t="shared" si="2"/>
        <v>0.35005392722662682</v>
      </c>
      <c r="W56" s="26">
        <f t="shared" si="2"/>
        <v>0.25926481245470673</v>
      </c>
      <c r="X56" s="26">
        <f t="shared" si="2"/>
        <v>0.27238425990410836</v>
      </c>
      <c r="Y56" s="26">
        <f t="shared" si="2"/>
        <v>0.34979733233508126</v>
      </c>
      <c r="Z56" s="27">
        <v>0.375</v>
      </c>
      <c r="AA56" s="26">
        <v>0.377</v>
      </c>
      <c r="AB56" s="26">
        <v>0.374</v>
      </c>
      <c r="AC56" s="26">
        <v>0.371</v>
      </c>
      <c r="AD56" s="26">
        <v>0.34699999999999998</v>
      </c>
      <c r="AE56" s="26">
        <v>0.34799999999999998</v>
      </c>
      <c r="AF56" s="26">
        <v>0.34200000000000003</v>
      </c>
      <c r="AG56" s="26">
        <v>0.34100000000000003</v>
      </c>
      <c r="AH56" s="28">
        <v>18.399999999999999</v>
      </c>
      <c r="AI56" s="28">
        <v>19.399999999999999</v>
      </c>
      <c r="AJ56" s="28">
        <v>19.2</v>
      </c>
      <c r="AK56" s="28">
        <v>18.7</v>
      </c>
      <c r="AL56" s="28">
        <v>16.8</v>
      </c>
      <c r="AM56" s="28">
        <v>18.5</v>
      </c>
      <c r="AN56" s="28">
        <v>14.9</v>
      </c>
      <c r="AO56" s="28">
        <v>12.5</v>
      </c>
      <c r="AP56" s="30">
        <v>5.8823529411764701</v>
      </c>
      <c r="AQ56" s="30">
        <v>6.47482014388489</v>
      </c>
      <c r="AR56" s="30">
        <v>5.46875</v>
      </c>
      <c r="AS56" s="30">
        <v>7.1428571428571397</v>
      </c>
      <c r="AT56" s="30">
        <v>3.6144578313253</v>
      </c>
      <c r="AU56" s="30">
        <v>5.6818181818181799</v>
      </c>
      <c r="AV56" s="30">
        <v>4.3478260869565197</v>
      </c>
    </row>
    <row r="57" spans="1:48" x14ac:dyDescent="0.3">
      <c r="A57" s="24" t="s">
        <v>61</v>
      </c>
      <c r="B57" s="25"/>
      <c r="C57" s="26">
        <v>86</v>
      </c>
      <c r="D57" s="26">
        <v>87</v>
      </c>
      <c r="E57" s="26">
        <v>71</v>
      </c>
      <c r="F57" s="26">
        <v>88</v>
      </c>
      <c r="G57" s="26">
        <v>75</v>
      </c>
      <c r="H57" s="26">
        <v>64</v>
      </c>
      <c r="I57" s="26">
        <v>47</v>
      </c>
      <c r="J57" s="26"/>
      <c r="K57" s="26">
        <v>533552</v>
      </c>
      <c r="L57" s="26">
        <v>534938</v>
      </c>
      <c r="M57" s="26">
        <v>536289</v>
      </c>
      <c r="N57" s="26">
        <v>537225</v>
      </c>
      <c r="O57" s="26">
        <v>537591</v>
      </c>
      <c r="P57" s="26">
        <v>536840</v>
      </c>
      <c r="Q57" s="26">
        <v>535215</v>
      </c>
      <c r="R57" s="26">
        <v>0.148195392811586</v>
      </c>
      <c r="S57" s="26">
        <f t="shared" si="2"/>
        <v>0.16118391459501602</v>
      </c>
      <c r="T57" s="26">
        <f t="shared" si="2"/>
        <v>0.16263566992810383</v>
      </c>
      <c r="U57" s="26">
        <f t="shared" si="2"/>
        <v>0.13239130394246384</v>
      </c>
      <c r="V57" s="26">
        <f t="shared" si="2"/>
        <v>0.16380473730745965</v>
      </c>
      <c r="W57" s="26">
        <f t="shared" si="2"/>
        <v>0.13951126413946663</v>
      </c>
      <c r="X57" s="26">
        <f t="shared" si="2"/>
        <v>0.11921615378883839</v>
      </c>
      <c r="Y57" s="26">
        <f t="shared" si="2"/>
        <v>8.7815177078370374E-2</v>
      </c>
      <c r="Z57" s="27">
        <v>0.38500000000000001</v>
      </c>
      <c r="AA57" s="28">
        <v>0.37</v>
      </c>
      <c r="AB57" s="28">
        <v>0.35599999999999998</v>
      </c>
      <c r="AC57" s="28">
        <v>0.34499999999999997</v>
      </c>
      <c r="AD57" s="28">
        <v>0.34899999999999998</v>
      </c>
      <c r="AE57" s="28">
        <v>0.35199999999999998</v>
      </c>
      <c r="AF57" s="28">
        <v>0.35199999999999998</v>
      </c>
      <c r="AG57" s="28">
        <v>0.33800000000000002</v>
      </c>
      <c r="AH57" s="28">
        <v>7.9</v>
      </c>
      <c r="AI57" s="36">
        <v>6</v>
      </c>
      <c r="AJ57" s="28">
        <v>6.3</v>
      </c>
      <c r="AK57" s="32">
        <v>5.9</v>
      </c>
      <c r="AL57" s="28">
        <v>6.3</v>
      </c>
      <c r="AM57" s="28">
        <v>4.9000000000000004</v>
      </c>
      <c r="AN57" s="28">
        <v>5.2</v>
      </c>
      <c r="AO57" s="31">
        <v>6</v>
      </c>
      <c r="AP57" s="30">
        <v>6.8181818181818201</v>
      </c>
      <c r="AQ57" s="30">
        <v>4.5454545454545503</v>
      </c>
      <c r="AR57" s="30">
        <v>9.8591549295774605</v>
      </c>
      <c r="AS57" s="30">
        <v>16.8539325842697</v>
      </c>
      <c r="AT57" s="30">
        <v>6.6666666666666696</v>
      </c>
      <c r="AU57" s="30">
        <v>10.9375</v>
      </c>
      <c r="AV57" s="30">
        <v>17.021276595744698</v>
      </c>
    </row>
    <row r="58" spans="1:48" x14ac:dyDescent="0.3">
      <c r="A58" s="24" t="s">
        <v>62</v>
      </c>
      <c r="B58" s="25"/>
      <c r="C58" s="26">
        <v>232</v>
      </c>
      <c r="D58" s="26">
        <v>273</v>
      </c>
      <c r="E58" s="26">
        <v>246</v>
      </c>
      <c r="F58" s="26">
        <v>199</v>
      </c>
      <c r="G58" s="26">
        <v>198</v>
      </c>
      <c r="H58" s="26">
        <v>166</v>
      </c>
      <c r="I58" s="26">
        <v>163</v>
      </c>
      <c r="J58" s="26"/>
      <c r="K58" s="26">
        <v>4250072</v>
      </c>
      <c r="L58" s="26">
        <v>4243806</v>
      </c>
      <c r="M58" s="26">
        <v>4239040</v>
      </c>
      <c r="N58" s="26">
        <v>4233678</v>
      </c>
      <c r="O58" s="26">
        <v>4225903</v>
      </c>
      <c r="P58" s="26">
        <v>4211386</v>
      </c>
      <c r="Q58" s="26">
        <v>4200071</v>
      </c>
      <c r="R58" s="26">
        <v>6.4278267658459995E-2</v>
      </c>
      <c r="S58" s="26">
        <f t="shared" si="2"/>
        <v>5.4587310520857059E-2</v>
      </c>
      <c r="T58" s="26">
        <f t="shared" si="2"/>
        <v>6.4329048029056937E-2</v>
      </c>
      <c r="U58" s="26">
        <f t="shared" si="2"/>
        <v>5.8032007246923832E-2</v>
      </c>
      <c r="V58" s="26">
        <f t="shared" si="2"/>
        <v>4.7004047072073035E-2</v>
      </c>
      <c r="W58" s="26">
        <f t="shared" si="2"/>
        <v>4.6853891345825974E-2</v>
      </c>
      <c r="X58" s="26">
        <f t="shared" si="2"/>
        <v>3.9416952043816456E-2</v>
      </c>
      <c r="Y58" s="26">
        <f t="shared" si="2"/>
        <v>3.880886775485462E-2</v>
      </c>
      <c r="Z58" s="27">
        <v>0.39800000000000002</v>
      </c>
      <c r="AA58" s="28">
        <v>0.39400000000000002</v>
      </c>
      <c r="AB58" s="28">
        <v>0.39500000000000002</v>
      </c>
      <c r="AC58" s="28">
        <v>0.38600000000000001</v>
      </c>
      <c r="AD58" s="28">
        <v>0.38800000000000001</v>
      </c>
      <c r="AE58" s="28">
        <v>0.39300000000000002</v>
      </c>
      <c r="AF58" s="28">
        <v>0.39900000000000002</v>
      </c>
      <c r="AG58" s="28">
        <v>0.39800000000000002</v>
      </c>
      <c r="AH58" s="37">
        <v>6</v>
      </c>
      <c r="AI58" s="21">
        <v>6</v>
      </c>
      <c r="AJ58" s="38">
        <v>5.9</v>
      </c>
      <c r="AK58" s="19">
        <v>6.1</v>
      </c>
      <c r="AL58" s="34">
        <v>5.8</v>
      </c>
      <c r="AM58" s="28">
        <v>5.6</v>
      </c>
      <c r="AN58" s="28">
        <v>5.0999999999999996</v>
      </c>
      <c r="AO58" s="28">
        <v>4.8</v>
      </c>
      <c r="AP58" s="30">
        <v>10.084033613445399</v>
      </c>
      <c r="AQ58" s="30">
        <v>7.8291814946619196</v>
      </c>
      <c r="AR58" s="30">
        <v>8.4677419354838701</v>
      </c>
      <c r="AS58" s="30">
        <v>11.2745098039216</v>
      </c>
      <c r="AT58" s="30">
        <v>4.8309178743961398</v>
      </c>
      <c r="AU58" s="30">
        <v>6.3953488372093004</v>
      </c>
      <c r="AV58" s="30">
        <v>10.714285714285699</v>
      </c>
    </row>
    <row r="59" spans="1:48" x14ac:dyDescent="0.3">
      <c r="A59" s="24" t="s">
        <v>63</v>
      </c>
      <c r="B59" s="25"/>
      <c r="C59" s="26">
        <v>70</v>
      </c>
      <c r="D59" s="26">
        <v>55</v>
      </c>
      <c r="E59" s="26">
        <v>59</v>
      </c>
      <c r="F59" s="26">
        <v>59</v>
      </c>
      <c r="G59" s="26">
        <v>58</v>
      </c>
      <c r="H59" s="26">
        <v>45</v>
      </c>
      <c r="I59" s="26">
        <v>34</v>
      </c>
      <c r="J59" s="26"/>
      <c r="K59" s="26">
        <v>1142747</v>
      </c>
      <c r="L59" s="26">
        <v>1138141</v>
      </c>
      <c r="M59" s="26">
        <v>1132771</v>
      </c>
      <c r="N59" s="26">
        <v>1128421</v>
      </c>
      <c r="O59" s="26">
        <v>1124107</v>
      </c>
      <c r="P59" s="26">
        <v>1117805</v>
      </c>
      <c r="Q59" s="26">
        <v>1111492</v>
      </c>
      <c r="R59" s="26">
        <v>6.0088879290149999E-2</v>
      </c>
      <c r="S59" s="26">
        <f t="shared" si="2"/>
        <v>6.1255903537703445E-2</v>
      </c>
      <c r="T59" s="26">
        <f t="shared" si="2"/>
        <v>4.8324416746255518E-2</v>
      </c>
      <c r="U59" s="26">
        <f t="shared" si="2"/>
        <v>5.2084666715514434E-2</v>
      </c>
      <c r="V59" s="26">
        <f t="shared" si="2"/>
        <v>5.2285450199881074E-2</v>
      </c>
      <c r="W59" s="26">
        <f t="shared" si="2"/>
        <v>5.159651171996972E-2</v>
      </c>
      <c r="X59" s="26">
        <f t="shared" si="2"/>
        <v>4.025746887874003E-2</v>
      </c>
      <c r="Y59" s="26">
        <f t="shared" si="2"/>
        <v>3.0589513914630065E-2</v>
      </c>
      <c r="Z59" s="28">
        <v>0.38100000000000001</v>
      </c>
      <c r="AA59" s="28">
        <v>0.378</v>
      </c>
      <c r="AB59" s="28">
        <v>0.38</v>
      </c>
      <c r="AC59" s="28">
        <v>0.36899999999999999</v>
      </c>
      <c r="AD59" s="28">
        <v>0.36699999999999999</v>
      </c>
      <c r="AE59" s="28">
        <v>0.36499999999999999</v>
      </c>
      <c r="AF59" s="28">
        <v>0.36399999999999999</v>
      </c>
      <c r="AG59" s="28">
        <v>0.36299999999999999</v>
      </c>
      <c r="AH59" s="28">
        <v>4.5999999999999996</v>
      </c>
      <c r="AI59" s="29">
        <v>4.7</v>
      </c>
      <c r="AJ59" s="39">
        <v>4.4000000000000004</v>
      </c>
      <c r="AK59" s="19">
        <v>4.7</v>
      </c>
      <c r="AL59" s="34">
        <v>4.4000000000000004</v>
      </c>
      <c r="AM59" s="28">
        <v>4.0999999999999996</v>
      </c>
      <c r="AN59" s="32">
        <v>4.2</v>
      </c>
      <c r="AO59" s="28">
        <v>3.9</v>
      </c>
      <c r="AP59" s="30">
        <v>8.3333333333333304</v>
      </c>
      <c r="AQ59" s="30">
        <v>10.714285714285699</v>
      </c>
      <c r="AR59" s="30">
        <v>8.4745762711864394</v>
      </c>
      <c r="AS59" s="30">
        <v>5</v>
      </c>
      <c r="AT59" s="30">
        <v>8.4745762711864394</v>
      </c>
      <c r="AU59" s="30">
        <v>8.8888888888888893</v>
      </c>
      <c r="AV59" s="30">
        <v>5.71428571428571</v>
      </c>
    </row>
    <row r="60" spans="1:48" x14ac:dyDescent="0.3">
      <c r="A60" s="24" t="s">
        <v>64</v>
      </c>
      <c r="B60" s="25"/>
      <c r="C60" s="26">
        <v>226</v>
      </c>
      <c r="D60" s="26">
        <v>170</v>
      </c>
      <c r="E60" s="26">
        <v>191</v>
      </c>
      <c r="F60" s="26">
        <v>157</v>
      </c>
      <c r="G60" s="26">
        <v>162</v>
      </c>
      <c r="H60" s="26">
        <v>124</v>
      </c>
      <c r="I60" s="26">
        <v>133</v>
      </c>
      <c r="J60" s="26"/>
      <c r="K60" s="26">
        <v>3212238</v>
      </c>
      <c r="L60" s="26">
        <v>3211931</v>
      </c>
      <c r="M60" s="26">
        <v>3209325</v>
      </c>
      <c r="N60" s="26">
        <v>3204827</v>
      </c>
      <c r="O60" s="26">
        <v>3198596</v>
      </c>
      <c r="P60" s="26">
        <v>3188276</v>
      </c>
      <c r="Q60" s="26">
        <v>3181285</v>
      </c>
      <c r="R60" s="26">
        <v>7.7685132215433897E-2</v>
      </c>
      <c r="S60" s="26">
        <f t="shared" si="2"/>
        <v>7.0355932530528562E-2</v>
      </c>
      <c r="T60" s="26">
        <f t="shared" si="2"/>
        <v>5.2927662518279503E-2</v>
      </c>
      <c r="U60" s="26">
        <f t="shared" si="2"/>
        <v>5.9514072273764734E-2</v>
      </c>
      <c r="V60" s="26">
        <f t="shared" si="2"/>
        <v>4.8988603753026293E-2</v>
      </c>
      <c r="W60" s="26">
        <f t="shared" si="2"/>
        <v>5.0647221468419275E-2</v>
      </c>
      <c r="X60" s="26">
        <f t="shared" si="2"/>
        <v>3.889249236891662E-2</v>
      </c>
      <c r="Y60" s="26">
        <f t="shared" si="2"/>
        <v>4.180700565966268E-2</v>
      </c>
      <c r="Z60" s="27">
        <v>0.442</v>
      </c>
      <c r="AA60" s="28">
        <v>0.438</v>
      </c>
      <c r="AB60" s="28">
        <v>0.42099999999999999</v>
      </c>
      <c r="AC60" s="28">
        <v>0.41299999999999998</v>
      </c>
      <c r="AD60" s="28">
        <v>0.38100000000000001</v>
      </c>
      <c r="AE60" s="28">
        <v>0.377</v>
      </c>
      <c r="AF60" s="28">
        <v>0.378</v>
      </c>
      <c r="AG60" s="28">
        <v>0.377</v>
      </c>
      <c r="AH60" s="28">
        <v>3.4</v>
      </c>
      <c r="AI60" s="33">
        <v>3.2</v>
      </c>
      <c r="AJ60" s="21">
        <v>3</v>
      </c>
      <c r="AK60" s="40">
        <v>3.4</v>
      </c>
      <c r="AL60" s="28">
        <v>4.0999999999999996</v>
      </c>
      <c r="AM60" s="33">
        <v>4.2</v>
      </c>
      <c r="AN60" s="19">
        <v>3.7</v>
      </c>
      <c r="AO60" s="34">
        <v>3.9</v>
      </c>
      <c r="AP60" s="30">
        <v>10.480349344978199</v>
      </c>
      <c r="AQ60" s="30">
        <v>8.6206896551724093</v>
      </c>
      <c r="AR60" s="30">
        <v>6.7357512953367902</v>
      </c>
      <c r="AS60" s="30">
        <v>6.9182389937106903</v>
      </c>
      <c r="AT60" s="30">
        <v>6.7901234567901199</v>
      </c>
      <c r="AU60" s="30">
        <v>4.6511627906976702</v>
      </c>
      <c r="AV60" s="30">
        <v>4.4776119402985097</v>
      </c>
    </row>
    <row r="61" spans="1:48" x14ac:dyDescent="0.3">
      <c r="A61" s="24" t="s">
        <v>65</v>
      </c>
      <c r="B61" s="25"/>
      <c r="C61" s="26">
        <v>126</v>
      </c>
      <c r="D61" s="26">
        <v>130</v>
      </c>
      <c r="E61" s="26">
        <v>124</v>
      </c>
      <c r="F61" s="26">
        <v>111</v>
      </c>
      <c r="G61" s="26">
        <v>110</v>
      </c>
      <c r="H61" s="26">
        <v>90</v>
      </c>
      <c r="I61" s="26">
        <v>104</v>
      </c>
      <c r="J61" s="26"/>
      <c r="K61" s="26">
        <v>2499928</v>
      </c>
      <c r="L61" s="26">
        <v>2494788</v>
      </c>
      <c r="M61" s="26">
        <v>2490277</v>
      </c>
      <c r="N61" s="26">
        <v>2483394</v>
      </c>
      <c r="O61" s="26">
        <v>2471105</v>
      </c>
      <c r="P61" s="26">
        <v>2451882</v>
      </c>
      <c r="Q61" s="26">
        <v>2431355</v>
      </c>
      <c r="R61" s="26">
        <v>6.3610019691276706E-2</v>
      </c>
      <c r="S61" s="26">
        <f t="shared" si="2"/>
        <v>5.0401451561804977E-2</v>
      </c>
      <c r="T61" s="26">
        <f t="shared" si="2"/>
        <v>5.2108636084508983E-2</v>
      </c>
      <c r="U61" s="26">
        <f t="shared" si="2"/>
        <v>4.9793657492720689E-2</v>
      </c>
      <c r="V61" s="26">
        <f t="shared" si="2"/>
        <v>4.469689465304337E-2</v>
      </c>
      <c r="W61" s="26">
        <f t="shared" si="2"/>
        <v>4.4514498574524351E-2</v>
      </c>
      <c r="X61" s="26">
        <f t="shared" si="2"/>
        <v>3.6706497294731147E-2</v>
      </c>
      <c r="Y61" s="26">
        <f t="shared" si="2"/>
        <v>4.2774502283706002E-2</v>
      </c>
      <c r="Z61" s="27">
        <v>0.38</v>
      </c>
      <c r="AA61" s="28">
        <v>0.38300000000000001</v>
      </c>
      <c r="AB61" s="28">
        <v>0.378</v>
      </c>
      <c r="AC61" s="28">
        <v>0.371</v>
      </c>
      <c r="AD61" s="28">
        <v>0.36399999999999999</v>
      </c>
      <c r="AE61" s="28">
        <v>0.35699999999999998</v>
      </c>
      <c r="AF61" s="28">
        <v>0.36299999999999999</v>
      </c>
      <c r="AG61" s="28">
        <v>0.36199999999999999</v>
      </c>
      <c r="AH61" s="28">
        <v>5.4</v>
      </c>
      <c r="AI61" s="28">
        <v>5.2</v>
      </c>
      <c r="AJ61" s="29">
        <v>4.5999999999999996</v>
      </c>
      <c r="AK61" s="28">
        <v>4.7</v>
      </c>
      <c r="AL61" s="28">
        <v>5.0999999999999996</v>
      </c>
      <c r="AM61" s="28">
        <v>4.8</v>
      </c>
      <c r="AN61" s="41">
        <v>5</v>
      </c>
      <c r="AO61" s="28">
        <v>4.3</v>
      </c>
      <c r="AP61" s="30">
        <v>5.4263565891472902</v>
      </c>
      <c r="AQ61" s="30">
        <v>6.8702290076335899</v>
      </c>
      <c r="AR61" s="30">
        <v>6.3492063492063497</v>
      </c>
      <c r="AS61" s="30">
        <v>7.20720720720721</v>
      </c>
      <c r="AT61" s="30">
        <v>9.0090090090090094</v>
      </c>
      <c r="AU61" s="30">
        <v>7.6086956521739104</v>
      </c>
      <c r="AV61" s="30">
        <v>6.5420560747663501</v>
      </c>
    </row>
    <row r="62" spans="1:48" x14ac:dyDescent="0.3">
      <c r="A62" s="24" t="s">
        <v>66</v>
      </c>
      <c r="B62" s="25"/>
      <c r="C62" s="26">
        <v>69</v>
      </c>
      <c r="D62" s="26">
        <v>73</v>
      </c>
      <c r="E62" s="26">
        <v>81</v>
      </c>
      <c r="F62" s="26">
        <v>56</v>
      </c>
      <c r="G62" s="26">
        <v>59</v>
      </c>
      <c r="H62" s="26">
        <v>50</v>
      </c>
      <c r="I62" s="26">
        <v>41</v>
      </c>
      <c r="J62" s="26"/>
      <c r="K62" s="26">
        <v>492165</v>
      </c>
      <c r="L62" s="26">
        <v>489709</v>
      </c>
      <c r="M62" s="26">
        <v>487842</v>
      </c>
      <c r="N62" s="26">
        <v>487318</v>
      </c>
      <c r="O62" s="26">
        <v>488763</v>
      </c>
      <c r="P62" s="26">
        <v>489910</v>
      </c>
      <c r="Q62" s="26">
        <v>488948</v>
      </c>
      <c r="R62" s="26">
        <v>0.18304364980902399</v>
      </c>
      <c r="S62" s="26">
        <f t="shared" si="2"/>
        <v>0.14019688519094206</v>
      </c>
      <c r="T62" s="26">
        <f t="shared" si="2"/>
        <v>0.14906812004680331</v>
      </c>
      <c r="U62" s="26">
        <f t="shared" si="2"/>
        <v>0.16603736455655724</v>
      </c>
      <c r="V62" s="26">
        <f t="shared" si="2"/>
        <v>0.11491469635843536</v>
      </c>
      <c r="W62" s="26">
        <f t="shared" si="2"/>
        <v>0.12071290175401983</v>
      </c>
      <c r="X62" s="26">
        <f t="shared" si="2"/>
        <v>0.10205956196036006</v>
      </c>
      <c r="Y62" s="26">
        <f t="shared" si="2"/>
        <v>8.3853497713458278E-2</v>
      </c>
      <c r="Z62" s="27">
        <v>0.41099999999999998</v>
      </c>
      <c r="AA62" s="28">
        <v>0.40799999999999997</v>
      </c>
      <c r="AB62" s="28">
        <v>0.41</v>
      </c>
      <c r="AC62" s="28">
        <v>0.41</v>
      </c>
      <c r="AD62" s="28">
        <v>0.41399999999999998</v>
      </c>
      <c r="AE62" s="28">
        <v>0.41499999999999998</v>
      </c>
      <c r="AF62" s="28">
        <v>0.42099999999999999</v>
      </c>
      <c r="AG62" s="28">
        <v>0.42199999999999999</v>
      </c>
      <c r="AH62" s="28">
        <v>7.7</v>
      </c>
      <c r="AI62" s="28">
        <v>7.2</v>
      </c>
      <c r="AJ62" s="32">
        <v>6.5</v>
      </c>
      <c r="AK62" s="28">
        <v>6.3</v>
      </c>
      <c r="AL62" s="28">
        <v>6.3</v>
      </c>
      <c r="AM62" s="28">
        <v>5.9</v>
      </c>
      <c r="AN62" s="28">
        <v>5.3</v>
      </c>
      <c r="AO62" s="28">
        <v>5.2</v>
      </c>
      <c r="AP62" s="30">
        <v>38.8888888888889</v>
      </c>
      <c r="AQ62" s="30">
        <v>18.918918918918902</v>
      </c>
      <c r="AR62" s="30">
        <v>10.975609756097599</v>
      </c>
      <c r="AS62" s="30">
        <v>10.526315789473699</v>
      </c>
      <c r="AT62" s="30">
        <v>8.3333333333333304</v>
      </c>
      <c r="AU62" s="30">
        <v>6</v>
      </c>
      <c r="AV62" s="30">
        <v>7.3170731707317103</v>
      </c>
    </row>
    <row r="63" spans="1:48" x14ac:dyDescent="0.3">
      <c r="A63" s="24" t="s">
        <v>67</v>
      </c>
      <c r="B63" s="25"/>
      <c r="C63" s="26">
        <v>450</v>
      </c>
      <c r="D63" s="26">
        <v>457</v>
      </c>
      <c r="E63" s="26">
        <v>430</v>
      </c>
      <c r="F63" s="26">
        <v>399</v>
      </c>
      <c r="G63" s="26">
        <v>338</v>
      </c>
      <c r="H63" s="26">
        <v>289</v>
      </c>
      <c r="I63" s="26">
        <v>285</v>
      </c>
      <c r="J63" s="26"/>
      <c r="K63" s="26">
        <v>4318253</v>
      </c>
      <c r="L63" s="26">
        <v>4324075</v>
      </c>
      <c r="M63" s="26">
        <v>4328739</v>
      </c>
      <c r="N63" s="26">
        <v>4329674</v>
      </c>
      <c r="O63" s="26">
        <v>4327299</v>
      </c>
      <c r="P63" s="26">
        <v>4320477</v>
      </c>
      <c r="Q63" s="26">
        <v>4313190</v>
      </c>
      <c r="R63" s="26">
        <v>0.104138037403878</v>
      </c>
      <c r="S63" s="26">
        <f t="shared" si="2"/>
        <v>0.1042088085158512</v>
      </c>
      <c r="T63" s="26">
        <f t="shared" si="2"/>
        <v>0.10568734353590074</v>
      </c>
      <c r="U63" s="26">
        <f t="shared" si="2"/>
        <v>9.933608840819462E-2</v>
      </c>
      <c r="V63" s="26">
        <f t="shared" si="2"/>
        <v>9.2154744213998552E-2</v>
      </c>
      <c r="W63" s="26">
        <f t="shared" si="2"/>
        <v>7.8108769465664377E-2</v>
      </c>
      <c r="X63" s="26">
        <f t="shared" si="2"/>
        <v>6.6890762293144959E-2</v>
      </c>
      <c r="Y63" s="26">
        <f t="shared" si="2"/>
        <v>6.607638430025109E-2</v>
      </c>
      <c r="Z63" s="27">
        <v>0.43</v>
      </c>
      <c r="AA63" s="28">
        <v>0.42899999999999999</v>
      </c>
      <c r="AB63" s="28">
        <v>0.42199999999999999</v>
      </c>
      <c r="AC63" s="28">
        <v>0.41</v>
      </c>
      <c r="AD63" s="28">
        <v>0.40899999999999997</v>
      </c>
      <c r="AE63" s="28">
        <v>0.40500000000000003</v>
      </c>
      <c r="AF63" s="28">
        <v>0.40300000000000002</v>
      </c>
      <c r="AG63" s="28">
        <v>0.40600000000000003</v>
      </c>
      <c r="AH63" s="28">
        <v>5.8</v>
      </c>
      <c r="AI63" s="33">
        <v>5.9</v>
      </c>
      <c r="AJ63" s="19">
        <v>6.1</v>
      </c>
      <c r="AK63" s="34">
        <v>6.5</v>
      </c>
      <c r="AL63" s="28">
        <v>6.2</v>
      </c>
      <c r="AM63" s="28">
        <v>5.5</v>
      </c>
      <c r="AN63" s="28">
        <v>4.8</v>
      </c>
      <c r="AO63" s="32">
        <v>4.2</v>
      </c>
      <c r="AP63" s="30">
        <v>8.7719298245614006</v>
      </c>
      <c r="AQ63" s="30">
        <v>7.1428571428571397</v>
      </c>
      <c r="AR63" s="30">
        <v>7.8341013824884804</v>
      </c>
      <c r="AS63" s="30">
        <v>7.2319201995012499</v>
      </c>
      <c r="AT63" s="30">
        <v>8.4795321637426895</v>
      </c>
      <c r="AU63" s="30">
        <v>7.1917808219178099</v>
      </c>
      <c r="AV63" s="30">
        <v>5.9649122807017498</v>
      </c>
    </row>
    <row r="64" spans="1:48" x14ac:dyDescent="0.3">
      <c r="A64" s="24" t="s">
        <v>68</v>
      </c>
      <c r="B64" s="25"/>
      <c r="C64" s="26">
        <v>61</v>
      </c>
      <c r="D64" s="26">
        <v>87</v>
      </c>
      <c r="E64" s="26">
        <v>76</v>
      </c>
      <c r="F64" s="26">
        <v>63</v>
      </c>
      <c r="G64" s="26">
        <v>43</v>
      </c>
      <c r="H64" s="26">
        <v>52</v>
      </c>
      <c r="I64" s="26">
        <v>60</v>
      </c>
      <c r="J64" s="26"/>
      <c r="K64" s="26">
        <v>971542</v>
      </c>
      <c r="L64" s="26">
        <v>966344</v>
      </c>
      <c r="M64" s="26">
        <v>961711</v>
      </c>
      <c r="N64" s="26">
        <v>955916</v>
      </c>
      <c r="O64" s="26">
        <v>951274</v>
      </c>
      <c r="P64" s="26">
        <v>945856</v>
      </c>
      <c r="Q64" s="26">
        <v>938626</v>
      </c>
      <c r="R64" s="26">
        <v>7.4905675284923701E-2</v>
      </c>
      <c r="S64" s="26">
        <f t="shared" si="2"/>
        <v>6.2786786366415451E-2</v>
      </c>
      <c r="T64" s="26">
        <f t="shared" si="2"/>
        <v>9.0030051410263837E-2</v>
      </c>
      <c r="U64" s="26">
        <f t="shared" si="2"/>
        <v>7.902581960692974E-2</v>
      </c>
      <c r="V64" s="26">
        <f t="shared" si="2"/>
        <v>6.5905372438582466E-2</v>
      </c>
      <c r="W64" s="26">
        <f t="shared" si="2"/>
        <v>4.5202538910976225E-2</v>
      </c>
      <c r="X64" s="26">
        <f t="shared" si="2"/>
        <v>5.4976656066039652E-2</v>
      </c>
      <c r="Y64" s="26">
        <f t="shared" si="2"/>
        <v>6.3923223946491997E-2</v>
      </c>
      <c r="Z64" s="28">
        <v>0.38</v>
      </c>
      <c r="AA64" s="28">
        <v>0.36099999999999999</v>
      </c>
      <c r="AB64" s="28">
        <v>0.36499999999999999</v>
      </c>
      <c r="AC64" s="28">
        <v>0.36399999999999999</v>
      </c>
      <c r="AD64" s="28">
        <v>0.36299999999999999</v>
      </c>
      <c r="AE64" s="28">
        <v>0.38</v>
      </c>
      <c r="AF64" s="28">
        <v>0.38500000000000001</v>
      </c>
      <c r="AG64" s="28">
        <v>0.38300000000000001</v>
      </c>
      <c r="AH64" s="28">
        <v>5.7</v>
      </c>
      <c r="AI64" s="28">
        <v>5.2</v>
      </c>
      <c r="AJ64" s="29">
        <v>5.0999999999999996</v>
      </c>
      <c r="AK64" s="28">
        <v>6.2</v>
      </c>
      <c r="AL64" s="31">
        <v>6</v>
      </c>
      <c r="AM64" s="28">
        <v>5.7</v>
      </c>
      <c r="AN64" s="33">
        <v>5.0999999999999996</v>
      </c>
      <c r="AO64" s="19">
        <v>5.2</v>
      </c>
      <c r="AP64" s="42">
        <v>6.1538461538461497</v>
      </c>
      <c r="AQ64" s="30">
        <v>5.6818181818181799</v>
      </c>
      <c r="AR64" s="30">
        <v>4.9382716049382704</v>
      </c>
      <c r="AS64" s="30">
        <v>5.9701492537313401</v>
      </c>
      <c r="AT64" s="30">
        <v>6.9767441860465098</v>
      </c>
      <c r="AU64" s="30">
        <v>9.6153846153846203</v>
      </c>
      <c r="AV64" s="30">
        <v>4.9180327868852496</v>
      </c>
    </row>
    <row r="65" spans="1:48" x14ac:dyDescent="0.3">
      <c r="A65" s="24" t="s">
        <v>69</v>
      </c>
      <c r="B65" s="25"/>
      <c r="C65" s="26">
        <v>177</v>
      </c>
      <c r="D65" s="26">
        <v>143</v>
      </c>
      <c r="E65" s="26">
        <v>163</v>
      </c>
      <c r="F65" s="26">
        <v>130</v>
      </c>
      <c r="G65" s="26">
        <v>121</v>
      </c>
      <c r="H65" s="26">
        <v>117</v>
      </c>
      <c r="I65" s="26">
        <v>111</v>
      </c>
      <c r="J65" s="26"/>
      <c r="K65" s="26">
        <v>2792646</v>
      </c>
      <c r="L65" s="26">
        <v>2796990</v>
      </c>
      <c r="M65" s="26">
        <v>2800535</v>
      </c>
      <c r="N65" s="26">
        <v>2802990</v>
      </c>
      <c r="O65" s="26">
        <v>2802528</v>
      </c>
      <c r="P65" s="26">
        <v>2797958</v>
      </c>
      <c r="Q65" s="26">
        <v>2799408</v>
      </c>
      <c r="R65" s="26">
        <v>5.3112310078934202E-2</v>
      </c>
      <c r="S65" s="26">
        <f t="shared" si="2"/>
        <v>6.3380750728878638E-2</v>
      </c>
      <c r="T65" s="26">
        <f t="shared" si="2"/>
        <v>5.1126389440076657E-2</v>
      </c>
      <c r="U65" s="26">
        <f t="shared" si="2"/>
        <v>5.8203164752449091E-2</v>
      </c>
      <c r="V65" s="26">
        <f t="shared" si="2"/>
        <v>4.637904523383958E-2</v>
      </c>
      <c r="W65" s="26">
        <f t="shared" si="2"/>
        <v>4.3175304582148688E-2</v>
      </c>
      <c r="X65" s="26">
        <f t="shared" si="2"/>
        <v>4.1816210250475522E-2</v>
      </c>
      <c r="Y65" s="26">
        <f t="shared" si="2"/>
        <v>3.9651240548001579E-2</v>
      </c>
      <c r="Z65" s="27">
        <v>0.38800000000000001</v>
      </c>
      <c r="AA65" s="28">
        <v>0.38300000000000001</v>
      </c>
      <c r="AB65" s="28">
        <v>0.38500000000000001</v>
      </c>
      <c r="AC65" s="28">
        <v>0.36799999999999999</v>
      </c>
      <c r="AD65" s="28">
        <v>0.36599999999999999</v>
      </c>
      <c r="AE65" s="28">
        <v>0.37</v>
      </c>
      <c r="AF65" s="28">
        <v>0.374</v>
      </c>
      <c r="AG65" s="28">
        <v>0.36699999999999999</v>
      </c>
      <c r="AH65" s="28">
        <v>5.4</v>
      </c>
      <c r="AI65" s="28">
        <v>5.6</v>
      </c>
      <c r="AJ65" s="28">
        <v>5.3</v>
      </c>
      <c r="AK65" s="28">
        <v>5.6</v>
      </c>
      <c r="AL65" s="28">
        <v>5.7</v>
      </c>
      <c r="AM65" s="28">
        <v>5.2</v>
      </c>
      <c r="AN65" s="31">
        <v>5</v>
      </c>
      <c r="AO65" s="29">
        <v>4.8</v>
      </c>
      <c r="AP65" s="30">
        <v>17.7777777777778</v>
      </c>
      <c r="AQ65" s="30">
        <v>24.657534246575299</v>
      </c>
      <c r="AR65" s="30">
        <v>14.1104294478528</v>
      </c>
      <c r="AS65" s="30">
        <v>17.424242424242401</v>
      </c>
      <c r="AT65" s="30">
        <v>14.876033057851201</v>
      </c>
      <c r="AU65" s="30">
        <v>7.6271186440678003</v>
      </c>
      <c r="AV65" s="30">
        <v>16.6666666666667</v>
      </c>
    </row>
    <row r="66" spans="1:48" x14ac:dyDescent="0.3">
      <c r="A66" s="24" t="s">
        <v>70</v>
      </c>
      <c r="B66" s="25"/>
      <c r="C66" s="26">
        <v>59</v>
      </c>
      <c r="D66" s="26">
        <v>61</v>
      </c>
      <c r="E66" s="26">
        <v>54</v>
      </c>
      <c r="F66" s="26">
        <v>49</v>
      </c>
      <c r="G66" s="26">
        <v>51</v>
      </c>
      <c r="H66" s="26">
        <v>54</v>
      </c>
      <c r="I66" s="26">
        <v>46</v>
      </c>
      <c r="J66" s="26"/>
      <c r="K66" s="26">
        <v>1072341</v>
      </c>
      <c r="L66" s="26">
        <v>1065677</v>
      </c>
      <c r="M66" s="26">
        <v>1056358</v>
      </c>
      <c r="N66" s="26">
        <v>1045311</v>
      </c>
      <c r="O66" s="26">
        <v>1036939</v>
      </c>
      <c r="P66" s="26">
        <v>1024759</v>
      </c>
      <c r="Q66" s="26">
        <v>1011357</v>
      </c>
      <c r="R66" s="26">
        <v>6.6736369096612E-2</v>
      </c>
      <c r="S66" s="26">
        <f t="shared" si="2"/>
        <v>5.5019811794942093E-2</v>
      </c>
      <c r="T66" s="26">
        <f t="shared" si="2"/>
        <v>5.7240608552122263E-2</v>
      </c>
      <c r="U66" s="26">
        <f t="shared" si="2"/>
        <v>5.1119033509473111E-2</v>
      </c>
      <c r="V66" s="26">
        <f t="shared" si="2"/>
        <v>4.6876001496205438E-2</v>
      </c>
      <c r="W66" s="26">
        <f t="shared" si="2"/>
        <v>4.918322099949949E-2</v>
      </c>
      <c r="X66" s="26">
        <f t="shared" si="2"/>
        <v>5.269531665494033E-2</v>
      </c>
      <c r="Y66" s="26">
        <f t="shared" si="2"/>
        <v>4.5483444520579772E-2</v>
      </c>
      <c r="Z66" s="28">
        <v>0.41199999999999998</v>
      </c>
      <c r="AA66" s="28">
        <v>0.41199999999999998</v>
      </c>
      <c r="AB66" s="28">
        <v>0.39</v>
      </c>
      <c r="AC66" s="28">
        <v>0.38100000000000001</v>
      </c>
      <c r="AD66" s="28">
        <v>0.38300000000000001</v>
      </c>
      <c r="AE66" s="28">
        <v>0.379</v>
      </c>
      <c r="AF66" s="28">
        <v>0.377</v>
      </c>
      <c r="AG66" s="28">
        <v>0.36899999999999999</v>
      </c>
      <c r="AH66" s="28">
        <v>4.9000000000000004</v>
      </c>
      <c r="AI66" s="28">
        <v>4.5999999999999996</v>
      </c>
      <c r="AJ66" s="32">
        <v>4.3</v>
      </c>
      <c r="AK66" s="28">
        <v>4.5999999999999996</v>
      </c>
      <c r="AL66" s="28">
        <v>4.5</v>
      </c>
      <c r="AM66" s="28">
        <v>4.4000000000000004</v>
      </c>
      <c r="AN66" s="28">
        <v>4.0999999999999996</v>
      </c>
      <c r="AO66" s="28">
        <v>3.9</v>
      </c>
      <c r="AP66" s="30">
        <v>5</v>
      </c>
      <c r="AQ66" s="30">
        <v>6.3492063492063497</v>
      </c>
      <c r="AR66" s="30">
        <v>8.9285714285714306</v>
      </c>
      <c r="AS66" s="30">
        <v>10.2040816326531</v>
      </c>
      <c r="AT66" s="30">
        <v>7.6923076923076898</v>
      </c>
      <c r="AU66" s="30">
        <v>7.2727272727272698</v>
      </c>
      <c r="AV66" s="30">
        <v>10.4166666666667</v>
      </c>
    </row>
    <row r="67" spans="1:48" x14ac:dyDescent="0.3">
      <c r="A67" s="24" t="s">
        <v>71</v>
      </c>
      <c r="B67" s="25"/>
      <c r="C67" s="26">
        <v>112</v>
      </c>
      <c r="D67" s="26">
        <v>124</v>
      </c>
      <c r="E67" s="26">
        <v>123</v>
      </c>
      <c r="F67" s="26">
        <v>97</v>
      </c>
      <c r="G67" s="26">
        <v>110</v>
      </c>
      <c r="H67" s="26">
        <v>112</v>
      </c>
      <c r="I67" s="26">
        <v>81</v>
      </c>
      <c r="J67" s="26"/>
      <c r="K67" s="26">
        <v>1329655</v>
      </c>
      <c r="L67" s="26">
        <v>1320160</v>
      </c>
      <c r="M67" s="26">
        <v>1309907</v>
      </c>
      <c r="N67" s="26">
        <v>1300771</v>
      </c>
      <c r="O67" s="26">
        <v>1290336</v>
      </c>
      <c r="P67" s="26">
        <v>1276754</v>
      </c>
      <c r="Q67" s="26">
        <v>1265007</v>
      </c>
      <c r="R67" s="26">
        <v>9.4202367619506205E-2</v>
      </c>
      <c r="S67" s="26">
        <f t="shared" si="2"/>
        <v>8.4232376067476147E-2</v>
      </c>
      <c r="T67" s="26">
        <f t="shared" si="2"/>
        <v>9.3928008726215012E-2</v>
      </c>
      <c r="U67" s="26">
        <f t="shared" si="2"/>
        <v>9.3899795939711747E-2</v>
      </c>
      <c r="V67" s="26">
        <f t="shared" si="2"/>
        <v>7.4571158182339559E-2</v>
      </c>
      <c r="W67" s="26">
        <f t="shared" si="2"/>
        <v>8.5249113409220548E-2</v>
      </c>
      <c r="X67" s="26">
        <f t="shared" si="2"/>
        <v>8.7722458672539888E-2</v>
      </c>
      <c r="Y67" s="26">
        <f t="shared" si="2"/>
        <v>6.4031266230147335E-2</v>
      </c>
      <c r="Z67" s="28">
        <v>0.36599999999999999</v>
      </c>
      <c r="AA67" s="28">
        <v>0.35899999999999999</v>
      </c>
      <c r="AB67" s="28">
        <v>0.34899999999999998</v>
      </c>
      <c r="AC67" s="28">
        <v>0.34100000000000003</v>
      </c>
      <c r="AD67" s="28">
        <v>0.34300000000000003</v>
      </c>
      <c r="AE67" s="28">
        <v>0.33700000000000002</v>
      </c>
      <c r="AF67" s="28">
        <v>0.33900000000000002</v>
      </c>
      <c r="AG67" s="28">
        <v>0.34200000000000003</v>
      </c>
      <c r="AH67" s="31">
        <v>5</v>
      </c>
      <c r="AI67" s="33">
        <v>5.3</v>
      </c>
      <c r="AJ67" s="19">
        <v>5.3</v>
      </c>
      <c r="AK67" s="34">
        <v>5.6</v>
      </c>
      <c r="AL67" s="28">
        <v>5.8</v>
      </c>
      <c r="AM67" s="28">
        <v>4.5</v>
      </c>
      <c r="AN67" s="28">
        <v>4.0999999999999996</v>
      </c>
      <c r="AO67" s="28">
        <v>3.9</v>
      </c>
      <c r="AP67" s="30">
        <v>10.526315789473699</v>
      </c>
      <c r="AQ67" s="30">
        <v>12.698412698412699</v>
      </c>
      <c r="AR67" s="30">
        <v>8.8709677419354804</v>
      </c>
      <c r="AS67" s="30">
        <v>10.3092783505155</v>
      </c>
      <c r="AT67" s="30">
        <v>5.4054054054054097</v>
      </c>
      <c r="AU67" s="30">
        <v>6.25</v>
      </c>
      <c r="AV67" s="30">
        <v>9.8765432098765409</v>
      </c>
    </row>
    <row r="68" spans="1:48" x14ac:dyDescent="0.3">
      <c r="A68" s="24" t="s">
        <v>72</v>
      </c>
      <c r="B68" s="25"/>
      <c r="C68" s="26">
        <v>99</v>
      </c>
      <c r="D68" s="26">
        <v>114</v>
      </c>
      <c r="E68" s="26">
        <v>99</v>
      </c>
      <c r="F68" s="26">
        <v>89</v>
      </c>
      <c r="G68" s="26">
        <v>82</v>
      </c>
      <c r="H68" s="26">
        <v>63</v>
      </c>
      <c r="I68" s="26">
        <v>49</v>
      </c>
      <c r="J68" s="26"/>
      <c r="K68" s="26">
        <v>1067187</v>
      </c>
      <c r="L68" s="26">
        <v>1072290</v>
      </c>
      <c r="M68" s="26">
        <v>1075608</v>
      </c>
      <c r="N68" s="26">
        <v>1077826</v>
      </c>
      <c r="O68" s="26">
        <v>1078585</v>
      </c>
      <c r="P68" s="26">
        <v>1077861</v>
      </c>
      <c r="Q68" s="26">
        <v>1078356</v>
      </c>
      <c r="R68" s="26">
        <v>9.9980664116845294E-2</v>
      </c>
      <c r="S68" s="26">
        <f t="shared" si="2"/>
        <v>9.2767246977333864E-2</v>
      </c>
      <c r="T68" s="26">
        <f t="shared" si="2"/>
        <v>0.10631452312340878</v>
      </c>
      <c r="U68" s="26">
        <f t="shared" si="2"/>
        <v>9.2040966597496485E-2</v>
      </c>
      <c r="V68" s="26">
        <f t="shared" si="2"/>
        <v>8.2573625056363467E-2</v>
      </c>
      <c r="W68" s="26">
        <f t="shared" si="2"/>
        <v>7.6025533453552577E-2</v>
      </c>
      <c r="X68" s="26">
        <f t="shared" si="2"/>
        <v>5.8449095013178881E-2</v>
      </c>
      <c r="Y68" s="26">
        <f t="shared" si="2"/>
        <v>4.5439539447084266E-2</v>
      </c>
      <c r="Z68" s="27">
        <v>0.39100000000000001</v>
      </c>
      <c r="AA68" s="28">
        <v>0.39400000000000002</v>
      </c>
      <c r="AB68" s="28">
        <v>0.38300000000000001</v>
      </c>
      <c r="AC68" s="28">
        <v>0.36899999999999999</v>
      </c>
      <c r="AD68" s="28">
        <v>0.36</v>
      </c>
      <c r="AE68" s="28">
        <v>0.36299999999999999</v>
      </c>
      <c r="AF68" s="28">
        <v>0.36399999999999999</v>
      </c>
      <c r="AG68" s="28">
        <v>0.36199999999999999</v>
      </c>
      <c r="AH68" s="28">
        <v>8.4</v>
      </c>
      <c r="AI68" s="28">
        <v>7.6</v>
      </c>
      <c r="AJ68" s="29">
        <v>7.5</v>
      </c>
      <c r="AK68" s="28">
        <v>7.7</v>
      </c>
      <c r="AL68" s="28">
        <v>7.2</v>
      </c>
      <c r="AM68" s="28">
        <v>6.3</v>
      </c>
      <c r="AN68" s="32">
        <v>6.3</v>
      </c>
      <c r="AO68" s="28">
        <v>5.6</v>
      </c>
      <c r="AP68" s="30">
        <v>6.9306930693069297</v>
      </c>
      <c r="AQ68" s="30">
        <v>5.2631578947368398</v>
      </c>
      <c r="AR68" s="30">
        <v>7</v>
      </c>
      <c r="AS68" s="30">
        <v>5.5555555555555598</v>
      </c>
      <c r="AT68" s="30">
        <v>3.6585365853658498</v>
      </c>
      <c r="AU68" s="30">
        <v>9.5238095238095202</v>
      </c>
      <c r="AV68" s="30">
        <v>7.8431372549019596</v>
      </c>
    </row>
    <row r="69" spans="1:48" x14ac:dyDescent="0.3">
      <c r="A69" s="24" t="s">
        <v>73</v>
      </c>
      <c r="B69" s="25"/>
      <c r="C69" s="26">
        <v>130</v>
      </c>
      <c r="D69" s="26">
        <v>103</v>
      </c>
      <c r="E69" s="26">
        <v>118</v>
      </c>
      <c r="F69" s="26">
        <v>106</v>
      </c>
      <c r="G69" s="26">
        <v>93</v>
      </c>
      <c r="H69" s="26">
        <v>77</v>
      </c>
      <c r="I69" s="26">
        <v>64</v>
      </c>
      <c r="J69" s="26"/>
      <c r="K69" s="26">
        <v>1526966</v>
      </c>
      <c r="L69" s="26">
        <v>1517533</v>
      </c>
      <c r="M69" s="26">
        <v>1510008</v>
      </c>
      <c r="N69" s="26">
        <v>1502931</v>
      </c>
      <c r="O69" s="26">
        <v>1495636</v>
      </c>
      <c r="P69" s="26">
        <v>1485337</v>
      </c>
      <c r="Q69" s="26">
        <v>1472472</v>
      </c>
      <c r="R69" s="26">
        <v>7.3696112142210196E-2</v>
      </c>
      <c r="S69" s="26">
        <f t="shared" si="2"/>
        <v>8.5136145794994775E-2</v>
      </c>
      <c r="T69" s="26">
        <f t="shared" si="2"/>
        <v>6.7873318076114325E-2</v>
      </c>
      <c r="U69" s="26">
        <f t="shared" si="2"/>
        <v>7.8145281349502785E-2</v>
      </c>
      <c r="V69" s="26">
        <f t="shared" si="2"/>
        <v>7.0528853287343193E-2</v>
      </c>
      <c r="W69" s="26">
        <f t="shared" si="2"/>
        <v>6.218090497955385E-2</v>
      </c>
      <c r="X69" s="26">
        <f t="shared" si="2"/>
        <v>5.184008746836577E-2</v>
      </c>
      <c r="Y69" s="26">
        <f t="shared" si="2"/>
        <v>4.3464323939606322E-2</v>
      </c>
      <c r="Z69" s="28">
        <v>0.38500000000000001</v>
      </c>
      <c r="AA69" s="28">
        <v>0.36599999999999999</v>
      </c>
      <c r="AB69" s="28">
        <v>0.36399999999999999</v>
      </c>
      <c r="AC69" s="28">
        <v>0.36</v>
      </c>
      <c r="AD69" s="28">
        <v>0.36199999999999999</v>
      </c>
      <c r="AE69" s="28">
        <v>0.35899999999999999</v>
      </c>
      <c r="AF69" s="28">
        <v>0.34799999999999998</v>
      </c>
      <c r="AG69" s="28">
        <v>0.34100000000000003</v>
      </c>
      <c r="AH69" s="28">
        <v>4.5999999999999996</v>
      </c>
      <c r="AI69" s="28">
        <v>4.2</v>
      </c>
      <c r="AJ69" s="28">
        <v>4.0999999999999996</v>
      </c>
      <c r="AK69" s="28">
        <v>4.0999999999999996</v>
      </c>
      <c r="AL69" s="28">
        <v>4.0999999999999996</v>
      </c>
      <c r="AM69" s="33">
        <v>3.8</v>
      </c>
      <c r="AN69" s="19">
        <v>3.9</v>
      </c>
      <c r="AO69" s="34">
        <v>3.8</v>
      </c>
      <c r="AP69" s="30">
        <v>8.3969465648855</v>
      </c>
      <c r="AQ69" s="30">
        <v>8.7378640776699008</v>
      </c>
      <c r="AR69" s="30">
        <v>11.6666666666667</v>
      </c>
      <c r="AS69" s="30">
        <v>7.4074074074074101</v>
      </c>
      <c r="AT69" s="30">
        <v>11.578947368421099</v>
      </c>
      <c r="AU69" s="30">
        <v>9.0909090909090899</v>
      </c>
      <c r="AV69" s="30">
        <v>7.8125</v>
      </c>
    </row>
    <row r="70" spans="1:48" x14ac:dyDescent="0.3">
      <c r="A70" s="24" t="s">
        <v>74</v>
      </c>
      <c r="B70" s="25"/>
      <c r="C70" s="26">
        <v>125</v>
      </c>
      <c r="D70" s="26">
        <v>122</v>
      </c>
      <c r="E70" s="26">
        <v>122</v>
      </c>
      <c r="F70" s="26">
        <v>114</v>
      </c>
      <c r="G70" s="26">
        <v>99</v>
      </c>
      <c r="H70" s="26">
        <v>96</v>
      </c>
      <c r="I70" s="26">
        <v>90</v>
      </c>
      <c r="J70" s="26"/>
      <c r="K70" s="26">
        <v>3528514</v>
      </c>
      <c r="L70" s="26">
        <v>3563819</v>
      </c>
      <c r="M70" s="26">
        <v>3598389</v>
      </c>
      <c r="N70" s="26">
        <v>3637758</v>
      </c>
      <c r="O70" s="26">
        <v>3676215</v>
      </c>
      <c r="P70" s="26">
        <v>3708185</v>
      </c>
      <c r="Q70" s="26">
        <v>3740252</v>
      </c>
      <c r="R70" s="26">
        <v>4.3583242128708802E-2</v>
      </c>
      <c r="S70" s="26">
        <f t="shared" si="2"/>
        <v>3.5425677778237526E-2</v>
      </c>
      <c r="T70" s="26">
        <f t="shared" si="2"/>
        <v>3.4232939439404753E-2</v>
      </c>
      <c r="U70" s="26">
        <f t="shared" si="2"/>
        <v>3.3904060956166777E-2</v>
      </c>
      <c r="V70" s="26">
        <f t="shared" si="2"/>
        <v>3.1337983450246007E-2</v>
      </c>
      <c r="W70" s="26">
        <f t="shared" si="2"/>
        <v>2.692987216471289E-2</v>
      </c>
      <c r="X70" s="26">
        <f t="shared" si="2"/>
        <v>2.588867599647806E-2</v>
      </c>
      <c r="Y70" s="26">
        <f t="shared" si="2"/>
        <v>2.4062549796109993E-2</v>
      </c>
      <c r="Z70" s="27">
        <v>0.41199999999999998</v>
      </c>
      <c r="AA70" s="28">
        <v>0.442</v>
      </c>
      <c r="AB70" s="28">
        <v>0.436</v>
      </c>
      <c r="AC70" s="28">
        <v>0.43</v>
      </c>
      <c r="AD70" s="28">
        <v>0.42699999999999999</v>
      </c>
      <c r="AE70" s="28">
        <v>0.42499999999999999</v>
      </c>
      <c r="AF70" s="28">
        <v>0.43099999999999999</v>
      </c>
      <c r="AG70" s="28">
        <v>0.43099999999999999</v>
      </c>
      <c r="AH70" s="28">
        <v>5.2</v>
      </c>
      <c r="AI70" s="28">
        <v>4.7</v>
      </c>
      <c r="AJ70" s="32">
        <v>4.7</v>
      </c>
      <c r="AK70" s="28">
        <v>4.9000000000000004</v>
      </c>
      <c r="AL70" s="28">
        <v>4.5999999999999996</v>
      </c>
      <c r="AM70" s="32">
        <v>3.9</v>
      </c>
      <c r="AN70" s="29">
        <v>3.2</v>
      </c>
      <c r="AO70" s="31">
        <v>3</v>
      </c>
      <c r="AP70" s="30">
        <v>9.3023255813953494</v>
      </c>
      <c r="AQ70" s="30">
        <v>10.2362204724409</v>
      </c>
      <c r="AR70" s="30">
        <v>8</v>
      </c>
      <c r="AS70" s="30">
        <v>9.4017094017094003</v>
      </c>
      <c r="AT70" s="30">
        <v>7.0707070707070701</v>
      </c>
      <c r="AU70" s="30">
        <v>5.2083333333333304</v>
      </c>
      <c r="AV70" s="30">
        <v>6.6666666666666696</v>
      </c>
    </row>
    <row r="71" spans="1:48" x14ac:dyDescent="0.3">
      <c r="A71" s="24" t="s">
        <v>75</v>
      </c>
      <c r="B71" s="25"/>
      <c r="C71" s="26">
        <v>110</v>
      </c>
      <c r="D71" s="26">
        <v>110</v>
      </c>
      <c r="E71" s="26">
        <v>109</v>
      </c>
      <c r="F71" s="26">
        <v>114</v>
      </c>
      <c r="G71" s="26">
        <v>96</v>
      </c>
      <c r="H71" s="26">
        <v>79</v>
      </c>
      <c r="I71" s="26">
        <v>79</v>
      </c>
      <c r="J71" s="26"/>
      <c r="K71" s="26">
        <v>1517371</v>
      </c>
      <c r="L71" s="26">
        <v>1517261</v>
      </c>
      <c r="M71" s="26">
        <v>1517318</v>
      </c>
      <c r="N71" s="26">
        <v>1516995</v>
      </c>
      <c r="O71" s="26">
        <v>1514935</v>
      </c>
      <c r="P71" s="26">
        <v>1510217</v>
      </c>
      <c r="Q71" s="26">
        <v>1504172</v>
      </c>
      <c r="R71" s="26">
        <v>8.2622504387255005E-2</v>
      </c>
      <c r="S71" s="26">
        <f t="shared" si="2"/>
        <v>7.2493806722284795E-2</v>
      </c>
      <c r="T71" s="26">
        <f t="shared" si="2"/>
        <v>7.2499062455305976E-2</v>
      </c>
      <c r="U71" s="26">
        <f t="shared" si="2"/>
        <v>7.1837281308203035E-2</v>
      </c>
      <c r="V71" s="26">
        <f t="shared" si="2"/>
        <v>7.5148566738848843E-2</v>
      </c>
      <c r="W71" s="26">
        <f t="shared" si="2"/>
        <v>6.3369055438022084E-2</v>
      </c>
      <c r="X71" s="26">
        <f t="shared" si="2"/>
        <v>5.2310363345135169E-2</v>
      </c>
      <c r="Y71" s="26">
        <f t="shared" si="2"/>
        <v>5.2520589400680238E-2</v>
      </c>
      <c r="Z71" s="27">
        <v>0.38200000000000001</v>
      </c>
      <c r="AA71" s="28">
        <v>0.373</v>
      </c>
      <c r="AB71" s="28">
        <v>0.373</v>
      </c>
      <c r="AC71" s="28">
        <v>0.374</v>
      </c>
      <c r="AD71" s="28">
        <v>0.374</v>
      </c>
      <c r="AE71" s="28">
        <v>0.36899999999999999</v>
      </c>
      <c r="AF71" s="28">
        <v>0.36</v>
      </c>
      <c r="AG71" s="28">
        <v>0.35499999999999998</v>
      </c>
      <c r="AH71" s="36">
        <v>6</v>
      </c>
      <c r="AI71" s="33">
        <v>5.7</v>
      </c>
      <c r="AJ71" s="19">
        <v>5.0999999999999996</v>
      </c>
      <c r="AK71" s="43">
        <v>5</v>
      </c>
      <c r="AL71" s="33">
        <v>5.3</v>
      </c>
      <c r="AM71" s="19">
        <v>4.9000000000000004</v>
      </c>
      <c r="AN71" s="34">
        <v>4.8</v>
      </c>
      <c r="AO71" s="28">
        <v>4.3</v>
      </c>
      <c r="AP71" s="30">
        <v>7.9646017699114999</v>
      </c>
      <c r="AQ71" s="30">
        <v>3.5398230088495599</v>
      </c>
      <c r="AR71" s="30">
        <v>3.5398230088495599</v>
      </c>
      <c r="AS71" s="30">
        <v>3.41880341880342</v>
      </c>
      <c r="AT71" s="30">
        <v>2.0618556701030899</v>
      </c>
      <c r="AU71" s="30">
        <v>4.8780487804878003</v>
      </c>
      <c r="AV71" s="30">
        <v>2.5316455696202498</v>
      </c>
    </row>
    <row r="72" spans="1:48" x14ac:dyDescent="0.3">
      <c r="A72" s="24" t="s">
        <v>76</v>
      </c>
      <c r="B72" s="25"/>
      <c r="C72" s="26">
        <v>98</v>
      </c>
      <c r="D72" s="26">
        <v>95</v>
      </c>
      <c r="E72" s="26">
        <v>103</v>
      </c>
      <c r="F72" s="26">
        <v>93</v>
      </c>
      <c r="G72" s="26">
        <v>75</v>
      </c>
      <c r="H72" s="26">
        <v>64</v>
      </c>
      <c r="I72" s="26">
        <v>92</v>
      </c>
      <c r="J72" s="26"/>
      <c r="K72" s="26">
        <v>1271024</v>
      </c>
      <c r="L72" s="26">
        <v>1265055</v>
      </c>
      <c r="M72" s="26">
        <v>1260085</v>
      </c>
      <c r="N72" s="26">
        <v>1255254</v>
      </c>
      <c r="O72" s="26">
        <v>1249752</v>
      </c>
      <c r="P72" s="26">
        <v>1242517</v>
      </c>
      <c r="Q72" s="26">
        <v>1234120</v>
      </c>
      <c r="R72" s="26">
        <v>9.5578551859590397E-2</v>
      </c>
      <c r="S72" s="26">
        <f t="shared" si="2"/>
        <v>7.7103186092473477E-2</v>
      </c>
      <c r="T72" s="26">
        <f t="shared" si="2"/>
        <v>7.509554920537051E-2</v>
      </c>
      <c r="U72" s="26">
        <f t="shared" si="2"/>
        <v>8.1740517504771501E-2</v>
      </c>
      <c r="V72" s="26">
        <f t="shared" si="2"/>
        <v>7.4088590835002313E-2</v>
      </c>
      <c r="W72" s="26">
        <f t="shared" si="2"/>
        <v>6.0011906362222263E-2</v>
      </c>
      <c r="X72" s="26">
        <f t="shared" si="2"/>
        <v>5.1508349583949356E-2</v>
      </c>
      <c r="Y72" s="26">
        <f t="shared" si="2"/>
        <v>7.4547045668168416E-2</v>
      </c>
      <c r="Z72" s="27">
        <v>0.39200000000000002</v>
      </c>
      <c r="AA72" s="28">
        <v>0.38600000000000001</v>
      </c>
      <c r="AB72" s="28">
        <v>0.38500000000000001</v>
      </c>
      <c r="AC72" s="28">
        <v>0.372</v>
      </c>
      <c r="AD72" s="28">
        <v>0.36799999999999999</v>
      </c>
      <c r="AE72" s="28">
        <v>0.36399999999999999</v>
      </c>
      <c r="AF72" s="28">
        <v>0.35799999999999998</v>
      </c>
      <c r="AG72" s="33">
        <v>0.35599999999999998</v>
      </c>
      <c r="AH72" s="19">
        <v>5.6</v>
      </c>
      <c r="AI72" s="34">
        <v>5.5</v>
      </c>
      <c r="AJ72" s="29">
        <v>4.8</v>
      </c>
      <c r="AK72" s="28">
        <v>4.9000000000000004</v>
      </c>
      <c r="AL72" s="28">
        <v>4.5999999999999996</v>
      </c>
      <c r="AM72" s="29">
        <v>4.4000000000000004</v>
      </c>
      <c r="AN72" s="28">
        <v>3.7</v>
      </c>
      <c r="AO72" s="28">
        <v>3.8</v>
      </c>
      <c r="AP72" s="30">
        <v>16.161616161616202</v>
      </c>
      <c r="AQ72" s="30">
        <v>13.6842105263158</v>
      </c>
      <c r="AR72" s="30">
        <v>5.7692307692307701</v>
      </c>
      <c r="AS72" s="30">
        <v>12.7659574468085</v>
      </c>
      <c r="AT72" s="30">
        <v>6.6666666666666696</v>
      </c>
      <c r="AU72" s="30">
        <v>3.0303030303030298</v>
      </c>
      <c r="AV72" s="30">
        <v>2.1739130434782599</v>
      </c>
    </row>
    <row r="73" spans="1:48" x14ac:dyDescent="0.3">
      <c r="A73" s="24" t="s">
        <v>77</v>
      </c>
      <c r="B73" s="25"/>
      <c r="C73" s="26">
        <v>221</v>
      </c>
      <c r="D73" s="26">
        <v>189</v>
      </c>
      <c r="E73" s="26">
        <v>199</v>
      </c>
      <c r="F73" s="26">
        <v>175</v>
      </c>
      <c r="G73" s="26">
        <v>162</v>
      </c>
      <c r="H73" s="26">
        <v>151</v>
      </c>
      <c r="I73" s="26">
        <v>138</v>
      </c>
      <c r="J73" s="26"/>
      <c r="K73" s="26">
        <v>1340997</v>
      </c>
      <c r="L73" s="26">
        <v>1339108</v>
      </c>
      <c r="M73" s="26">
        <v>1336428</v>
      </c>
      <c r="N73" s="26">
        <v>1333923</v>
      </c>
      <c r="O73" s="26">
        <v>1330798</v>
      </c>
      <c r="P73" s="26">
        <v>1324887</v>
      </c>
      <c r="Q73" s="26">
        <v>1318558</v>
      </c>
      <c r="R73" s="26">
        <v>0.170020089215805</v>
      </c>
      <c r="S73" s="26">
        <f t="shared" si="2"/>
        <v>0.16480275496514907</v>
      </c>
      <c r="T73" s="26">
        <f t="shared" si="2"/>
        <v>0.14113872816830306</v>
      </c>
      <c r="U73" s="26">
        <f t="shared" si="2"/>
        <v>0.14890439290406965</v>
      </c>
      <c r="V73" s="26">
        <f t="shared" si="2"/>
        <v>0.13119198034669166</v>
      </c>
      <c r="W73" s="26">
        <f t="shared" si="2"/>
        <v>0.12173147239475864</v>
      </c>
      <c r="X73" s="26">
        <f t="shared" si="2"/>
        <v>0.11397198402580749</v>
      </c>
      <c r="Y73" s="26">
        <f t="shared" si="2"/>
        <v>0.10465978743445491</v>
      </c>
      <c r="Z73" s="27">
        <v>0.38900000000000001</v>
      </c>
      <c r="AA73" s="28">
        <v>0.38900000000000001</v>
      </c>
      <c r="AB73" s="28">
        <v>0.38400000000000001</v>
      </c>
      <c r="AC73" s="28">
        <v>0.374</v>
      </c>
      <c r="AD73" s="28">
        <v>0.38200000000000001</v>
      </c>
      <c r="AE73" s="28">
        <v>0.38200000000000001</v>
      </c>
      <c r="AF73" s="28">
        <v>0.38700000000000001</v>
      </c>
      <c r="AG73" s="28">
        <v>0.38300000000000001</v>
      </c>
      <c r="AH73" s="29">
        <v>6.4</v>
      </c>
      <c r="AI73" s="28">
        <v>5.6</v>
      </c>
      <c r="AJ73" s="28">
        <v>5.8</v>
      </c>
      <c r="AK73" s="28">
        <v>5.3</v>
      </c>
      <c r="AL73" s="28">
        <v>4.9000000000000004</v>
      </c>
      <c r="AM73" s="28">
        <v>4.8</v>
      </c>
      <c r="AN73" s="28">
        <v>3.6</v>
      </c>
      <c r="AO73" s="32">
        <v>3.8</v>
      </c>
      <c r="AP73" s="30">
        <v>6.7873303167420804</v>
      </c>
      <c r="AQ73" s="30">
        <v>5.7894736842105301</v>
      </c>
      <c r="AR73" s="30">
        <v>5.4187192118226601</v>
      </c>
      <c r="AS73" s="30">
        <v>5.6179775280898898</v>
      </c>
      <c r="AT73" s="30">
        <v>5.48780487804878</v>
      </c>
      <c r="AU73" s="30">
        <v>6.5359477124182996</v>
      </c>
      <c r="AV73" s="30">
        <v>5.7971014492753596</v>
      </c>
    </row>
    <row r="74" spans="1:48" ht="144" x14ac:dyDescent="0.3">
      <c r="A74" s="44" t="s">
        <v>78</v>
      </c>
      <c r="B74" s="45"/>
      <c r="C74" s="26">
        <v>114</v>
      </c>
      <c r="D74" s="26">
        <v>109</v>
      </c>
      <c r="E74" s="26">
        <v>115</v>
      </c>
      <c r="F74" s="26">
        <v>99</v>
      </c>
      <c r="G74" s="26">
        <v>94</v>
      </c>
      <c r="H74" s="26">
        <v>77</v>
      </c>
      <c r="I74" s="26">
        <v>70</v>
      </c>
      <c r="J74" s="26"/>
      <c r="K74" s="26">
        <v>1590655</v>
      </c>
      <c r="L74" s="26">
        <v>1604662</v>
      </c>
      <c r="M74" s="26">
        <v>1619415</v>
      </c>
      <c r="N74" s="26">
        <v>1636416</v>
      </c>
      <c r="O74" s="26">
        <v>1650576</v>
      </c>
      <c r="P74" s="26">
        <v>1659435</v>
      </c>
      <c r="Q74" s="26">
        <v>1669236</v>
      </c>
      <c r="R74" s="26">
        <v>8.5129902513555705E-2</v>
      </c>
      <c r="S74" s="26">
        <f t="shared" si="2"/>
        <v>7.1668589354699788E-2</v>
      </c>
      <c r="T74" s="26">
        <f t="shared" si="2"/>
        <v>6.7927077477998477E-2</v>
      </c>
      <c r="U74" s="26">
        <f t="shared" si="2"/>
        <v>7.1013298011936413E-2</v>
      </c>
      <c r="V74" s="26">
        <f t="shared" si="2"/>
        <v>6.0498064061950019E-2</v>
      </c>
      <c r="W74" s="26">
        <f t="shared" si="2"/>
        <v>5.6949816306549959E-2</v>
      </c>
      <c r="X74" s="26">
        <f t="shared" si="2"/>
        <v>4.640133539427576E-2</v>
      </c>
      <c r="Y74" s="26">
        <f t="shared" si="2"/>
        <v>4.1935352460646662E-2</v>
      </c>
      <c r="Z74" s="27">
        <v>0.42899999999999999</v>
      </c>
      <c r="AA74" s="28">
        <v>0.42499999999999999</v>
      </c>
      <c r="AB74" s="28">
        <v>0.42</v>
      </c>
      <c r="AC74" s="28">
        <v>0.40600000000000003</v>
      </c>
      <c r="AD74" s="28">
        <v>0.39900000000000002</v>
      </c>
      <c r="AE74" s="28">
        <v>0.39200000000000002</v>
      </c>
      <c r="AF74" s="28">
        <v>0.39800000000000002</v>
      </c>
      <c r="AG74" s="28">
        <v>0.39900000000000002</v>
      </c>
      <c r="AH74" s="28">
        <v>5.5</v>
      </c>
      <c r="AI74" s="28">
        <v>4.9000000000000004</v>
      </c>
      <c r="AJ74" s="28">
        <v>4.5999999999999996</v>
      </c>
      <c r="AK74" s="28">
        <v>4.5</v>
      </c>
      <c r="AL74" s="28">
        <v>4.5999999999999996</v>
      </c>
      <c r="AM74" s="28">
        <v>3.3</v>
      </c>
      <c r="AN74" s="33">
        <v>2.5</v>
      </c>
      <c r="AO74" s="19">
        <v>2.5</v>
      </c>
      <c r="AP74" s="42">
        <v>14.7826086956522</v>
      </c>
      <c r="AQ74" s="30">
        <v>10.0917431192661</v>
      </c>
      <c r="AR74" s="30">
        <v>9.4827586206896495</v>
      </c>
      <c r="AS74" s="30">
        <v>10.1010101010101</v>
      </c>
      <c r="AT74" s="30">
        <v>9.5744680851063801</v>
      </c>
      <c r="AU74" s="30">
        <v>12.8205128205128</v>
      </c>
      <c r="AV74" s="30">
        <v>11.1111111111111</v>
      </c>
    </row>
    <row r="75" spans="1:48" x14ac:dyDescent="0.3">
      <c r="A75" s="24" t="s">
        <v>79</v>
      </c>
      <c r="B75" s="25"/>
      <c r="C75" s="26">
        <v>398</v>
      </c>
      <c r="D75" s="26">
        <v>357</v>
      </c>
      <c r="E75" s="26">
        <v>349</v>
      </c>
      <c r="F75" s="26">
        <v>321</v>
      </c>
      <c r="G75" s="26">
        <v>256</v>
      </c>
      <c r="H75" s="26">
        <v>242</v>
      </c>
      <c r="I75" s="26">
        <v>213</v>
      </c>
      <c r="J75" s="26"/>
      <c r="K75" s="26">
        <v>3487663</v>
      </c>
      <c r="L75" s="26">
        <v>3493663</v>
      </c>
      <c r="M75" s="26">
        <v>3498995</v>
      </c>
      <c r="N75" s="26">
        <v>3501519</v>
      </c>
      <c r="O75" s="26">
        <v>3497679</v>
      </c>
      <c r="P75" s="26">
        <v>3484395</v>
      </c>
      <c r="Q75" s="26">
        <v>3471061</v>
      </c>
      <c r="R75" s="26">
        <v>0.109961665583319</v>
      </c>
      <c r="S75" s="26">
        <f t="shared" si="2"/>
        <v>0.11411653018081162</v>
      </c>
      <c r="T75" s="26">
        <f t="shared" si="2"/>
        <v>0.10218501326544661</v>
      </c>
      <c r="U75" s="26">
        <f t="shared" si="2"/>
        <v>9.974292618308972E-2</v>
      </c>
      <c r="V75" s="26">
        <f t="shared" si="2"/>
        <v>9.1674498981727651E-2</v>
      </c>
      <c r="W75" s="26">
        <f t="shared" si="2"/>
        <v>7.3191393492656132E-2</v>
      </c>
      <c r="X75" s="26">
        <f t="shared" si="2"/>
        <v>6.9452516146992521E-2</v>
      </c>
      <c r="Y75" s="26">
        <f t="shared" si="2"/>
        <v>6.1364522259908419E-2</v>
      </c>
      <c r="Z75" s="27">
        <v>0.4</v>
      </c>
      <c r="AA75" s="28">
        <v>0.38900000000000001</v>
      </c>
      <c r="AB75" s="28">
        <v>0.38200000000000001</v>
      </c>
      <c r="AC75" s="28">
        <v>0.36799999999999999</v>
      </c>
      <c r="AD75" s="28">
        <v>0.36099999999999999</v>
      </c>
      <c r="AE75" s="28">
        <v>0.35199999999999998</v>
      </c>
      <c r="AF75" s="28">
        <v>0.35399999999999998</v>
      </c>
      <c r="AG75" s="28">
        <v>0.34699999999999998</v>
      </c>
      <c r="AH75" s="28">
        <v>6.4</v>
      </c>
      <c r="AI75" s="31">
        <v>6</v>
      </c>
      <c r="AJ75" s="28">
        <v>6.2</v>
      </c>
      <c r="AK75" s="31">
        <v>7</v>
      </c>
      <c r="AL75" s="28">
        <v>7.1</v>
      </c>
      <c r="AM75" s="28">
        <v>6.6</v>
      </c>
      <c r="AN75" s="33">
        <v>5.6</v>
      </c>
      <c r="AO75" s="19">
        <v>5.0999999999999996</v>
      </c>
      <c r="AP75" s="42">
        <v>8.4367245657568208</v>
      </c>
      <c r="AQ75" s="30">
        <v>6.9252077562326901</v>
      </c>
      <c r="AR75" s="30">
        <v>6.1797752808988804</v>
      </c>
      <c r="AS75" s="30">
        <v>5.81039755351682</v>
      </c>
      <c r="AT75" s="30">
        <v>9.1954022988505706</v>
      </c>
      <c r="AU75" s="30">
        <v>6.12244897959184</v>
      </c>
      <c r="AV75" s="30">
        <v>6.1032863849765304</v>
      </c>
    </row>
    <row r="76" spans="1:48" x14ac:dyDescent="0.3">
      <c r="A76" s="24" t="s">
        <v>80</v>
      </c>
      <c r="B76" s="25"/>
      <c r="C76" s="26">
        <v>89</v>
      </c>
      <c r="D76" s="26">
        <v>93</v>
      </c>
      <c r="E76" s="26">
        <v>98</v>
      </c>
      <c r="F76" s="26">
        <v>73</v>
      </c>
      <c r="G76" s="26">
        <v>85</v>
      </c>
      <c r="H76" s="26">
        <v>38</v>
      </c>
      <c r="I76" s="26">
        <v>45</v>
      </c>
      <c r="J76" s="26"/>
      <c r="K76" s="26">
        <v>1241707</v>
      </c>
      <c r="L76" s="26">
        <v>1239028</v>
      </c>
      <c r="M76" s="26">
        <v>1237350</v>
      </c>
      <c r="N76" s="26">
        <v>1236246</v>
      </c>
      <c r="O76" s="26">
        <v>1233490</v>
      </c>
      <c r="P76" s="26">
        <v>1227256</v>
      </c>
      <c r="Q76" s="26">
        <v>1220606</v>
      </c>
      <c r="R76" s="26">
        <v>6.4361609265497305E-2</v>
      </c>
      <c r="S76" s="26">
        <f t="shared" si="2"/>
        <v>7.1675524097069593E-2</v>
      </c>
      <c r="T76" s="26">
        <f t="shared" si="2"/>
        <v>7.5058836442759971E-2</v>
      </c>
      <c r="U76" s="26">
        <f t="shared" si="2"/>
        <v>7.9201519376085994E-2</v>
      </c>
      <c r="V76" s="26">
        <f t="shared" si="2"/>
        <v>5.9049736055768832E-2</v>
      </c>
      <c r="W76" s="26">
        <f t="shared" si="2"/>
        <v>6.8910165465467896E-2</v>
      </c>
      <c r="X76" s="26">
        <f t="shared" si="2"/>
        <v>3.0963384982432354E-2</v>
      </c>
      <c r="Y76" s="26">
        <f t="shared" si="2"/>
        <v>3.6866933310175438E-2</v>
      </c>
      <c r="Z76" s="27">
        <v>0.378</v>
      </c>
      <c r="AA76" s="28">
        <v>0.37</v>
      </c>
      <c r="AB76" s="28">
        <v>0.36699999999999999</v>
      </c>
      <c r="AC76" s="28">
        <v>0.35</v>
      </c>
      <c r="AD76" s="28">
        <v>0.34499999999999997</v>
      </c>
      <c r="AE76" s="28">
        <v>0.34</v>
      </c>
      <c r="AF76" s="28">
        <v>0.34200000000000003</v>
      </c>
      <c r="AG76" s="28">
        <v>0.34300000000000003</v>
      </c>
      <c r="AH76" s="28">
        <v>5.9</v>
      </c>
      <c r="AI76" s="28">
        <v>5.7</v>
      </c>
      <c r="AJ76" s="31">
        <v>5</v>
      </c>
      <c r="AK76" s="28">
        <v>4.9000000000000004</v>
      </c>
      <c r="AL76" s="28">
        <v>5.2</v>
      </c>
      <c r="AM76" s="28">
        <v>5.0999999999999996</v>
      </c>
      <c r="AN76" s="37">
        <v>5</v>
      </c>
      <c r="AO76" s="19">
        <v>4.7</v>
      </c>
      <c r="AP76" s="42">
        <v>5.31914893617021</v>
      </c>
      <c r="AQ76" s="30">
        <v>5.3763440860215104</v>
      </c>
      <c r="AR76" s="30">
        <v>5.9405940594059397</v>
      </c>
      <c r="AS76" s="30">
        <v>8.2191780821917799</v>
      </c>
      <c r="AT76" s="30">
        <v>4.6511627906976702</v>
      </c>
      <c r="AU76" s="30">
        <v>7.1428571428571397</v>
      </c>
      <c r="AV76" s="30">
        <v>6.5217391304347796</v>
      </c>
    </row>
    <row r="77" spans="1:48" x14ac:dyDescent="0.3">
      <c r="A77" s="24" t="s">
        <v>81</v>
      </c>
      <c r="B77" s="25"/>
      <c r="C77" s="26">
        <v>66</v>
      </c>
      <c r="D77" s="26">
        <v>59</v>
      </c>
      <c r="E77" s="26">
        <v>74</v>
      </c>
      <c r="F77" s="26">
        <v>57</v>
      </c>
      <c r="G77" s="26">
        <v>51</v>
      </c>
      <c r="H77" s="26">
        <v>51</v>
      </c>
      <c r="I77" s="26">
        <v>45</v>
      </c>
      <c r="J77" s="26"/>
      <c r="K77" s="26">
        <v>1241707</v>
      </c>
      <c r="L77" s="26">
        <v>1239028</v>
      </c>
      <c r="M77" s="26">
        <v>1237350</v>
      </c>
      <c r="N77" s="26">
        <v>1236246</v>
      </c>
      <c r="O77" s="26">
        <v>1233490</v>
      </c>
      <c r="P77" s="26">
        <v>1227256</v>
      </c>
      <c r="Q77" s="26">
        <v>1220606</v>
      </c>
      <c r="R77" s="26">
        <v>5.9595379586327497E-2</v>
      </c>
      <c r="S77" s="26">
        <f t="shared" si="2"/>
        <v>5.3152635847265095E-2</v>
      </c>
      <c r="T77" s="26">
        <f t="shared" si="2"/>
        <v>4.7617971506697186E-2</v>
      </c>
      <c r="U77" s="26">
        <f t="shared" si="2"/>
        <v>5.9805228916636359E-2</v>
      </c>
      <c r="V77" s="26">
        <f t="shared" si="2"/>
        <v>4.6107328153134571E-2</v>
      </c>
      <c r="W77" s="26">
        <f t="shared" si="2"/>
        <v>4.1346099279280742E-2</v>
      </c>
      <c r="X77" s="26">
        <f t="shared" si="2"/>
        <v>4.1556121950106578E-2</v>
      </c>
      <c r="Y77" s="26">
        <f t="shared" si="2"/>
        <v>3.6866933310175438E-2</v>
      </c>
      <c r="Z77" s="27">
        <v>0.442</v>
      </c>
      <c r="AA77" s="28">
        <v>0.44</v>
      </c>
      <c r="AB77" s="28">
        <v>0.432</v>
      </c>
      <c r="AC77" s="28">
        <v>0.42899999999999999</v>
      </c>
      <c r="AD77" s="28">
        <v>0.438</v>
      </c>
      <c r="AE77" s="28">
        <v>0.435</v>
      </c>
      <c r="AF77" s="28">
        <v>0.442</v>
      </c>
      <c r="AG77" s="28">
        <v>0.44500000000000001</v>
      </c>
      <c r="AH77" s="28">
        <v>3.4</v>
      </c>
      <c r="AI77" s="28">
        <v>3.2</v>
      </c>
      <c r="AJ77" s="28">
        <v>3.2</v>
      </c>
      <c r="AK77" s="28">
        <v>3.6</v>
      </c>
      <c r="AL77" s="28">
        <v>2.7</v>
      </c>
      <c r="AM77" s="32">
        <v>3.3</v>
      </c>
      <c r="AN77" s="28">
        <v>2.1</v>
      </c>
      <c r="AO77" s="41">
        <v>2</v>
      </c>
      <c r="AP77" s="30">
        <v>26.865671641791</v>
      </c>
      <c r="AQ77" s="30">
        <v>15.254237288135601</v>
      </c>
      <c r="AR77" s="30">
        <v>6.6666666666666696</v>
      </c>
      <c r="AS77" s="30">
        <v>12.280701754386</v>
      </c>
      <c r="AT77" s="30">
        <v>11.764705882352899</v>
      </c>
      <c r="AU77" s="30">
        <v>5.8823529411764701</v>
      </c>
      <c r="AV77" s="30">
        <v>6.6666666666666696</v>
      </c>
    </row>
    <row r="78" spans="1:48" x14ac:dyDescent="0.3">
      <c r="A78" s="24" t="s">
        <v>82</v>
      </c>
      <c r="B78" s="25"/>
      <c r="C78" s="26">
        <v>92</v>
      </c>
      <c r="D78" s="26">
        <v>78</v>
      </c>
      <c r="E78" s="26">
        <v>77</v>
      </c>
      <c r="F78" s="26">
        <v>76</v>
      </c>
      <c r="G78" s="26">
        <v>70</v>
      </c>
      <c r="H78" s="26">
        <v>61</v>
      </c>
      <c r="I78" s="26">
        <v>71</v>
      </c>
      <c r="J78" s="26"/>
      <c r="K78" s="26">
        <v>1271719</v>
      </c>
      <c r="L78" s="26">
        <v>1271697</v>
      </c>
      <c r="M78" s="26">
        <v>1271771</v>
      </c>
      <c r="N78" s="26">
        <v>1271324</v>
      </c>
      <c r="O78" s="26">
        <v>1268210</v>
      </c>
      <c r="P78" s="26">
        <v>1262648</v>
      </c>
      <c r="Q78" s="26">
        <v>1256501</v>
      </c>
      <c r="R78" s="26">
        <v>5.9915031025737399E-2</v>
      </c>
      <c r="S78" s="26">
        <f t="shared" si="2"/>
        <v>7.2343025463958627E-2</v>
      </c>
      <c r="T78" s="26">
        <f t="shared" si="2"/>
        <v>6.1335365263895408E-2</v>
      </c>
      <c r="U78" s="26">
        <f t="shared" si="2"/>
        <v>6.0545491287346542E-2</v>
      </c>
      <c r="V78" s="26">
        <f t="shared" si="2"/>
        <v>5.9780197652211396E-2</v>
      </c>
      <c r="W78" s="26">
        <f t="shared" si="2"/>
        <v>5.519590604079766E-2</v>
      </c>
      <c r="X78" s="26">
        <f t="shared" si="2"/>
        <v>4.8311168274926979E-2</v>
      </c>
      <c r="Y78" s="26">
        <f t="shared" si="2"/>
        <v>5.6506122955731826E-2</v>
      </c>
      <c r="Z78" s="28">
        <v>0.39200000000000002</v>
      </c>
      <c r="AA78" s="28">
        <v>0.39100000000000001</v>
      </c>
      <c r="AB78" s="28">
        <v>0.38900000000000001</v>
      </c>
      <c r="AC78" s="28">
        <v>0.38500000000000001</v>
      </c>
      <c r="AD78" s="28">
        <v>0.38100000000000001</v>
      </c>
      <c r="AE78" s="28">
        <v>0.372</v>
      </c>
      <c r="AF78" s="28">
        <v>0.36</v>
      </c>
      <c r="AG78" s="28">
        <v>0.35899999999999999</v>
      </c>
      <c r="AH78" s="28">
        <v>3.4</v>
      </c>
      <c r="AI78" s="28">
        <v>4.5</v>
      </c>
      <c r="AJ78" s="28">
        <v>3.8</v>
      </c>
      <c r="AK78" s="28">
        <v>5.3</v>
      </c>
      <c r="AL78" s="33">
        <v>6.7</v>
      </c>
      <c r="AM78" s="19">
        <v>6.6</v>
      </c>
      <c r="AN78" s="34">
        <v>5.5</v>
      </c>
      <c r="AO78" s="28">
        <v>5.4</v>
      </c>
      <c r="AP78" s="30">
        <v>8.3333333333333304</v>
      </c>
      <c r="AQ78" s="30">
        <v>3.7037037037037002</v>
      </c>
      <c r="AR78" s="30">
        <v>8.9743589743589691</v>
      </c>
      <c r="AS78" s="30">
        <v>5.0632911392405102</v>
      </c>
      <c r="AT78" s="30">
        <v>2.7777777777777799</v>
      </c>
      <c r="AU78" s="30">
        <v>17.460317460317501</v>
      </c>
      <c r="AV78" s="30">
        <v>11.1111111111111</v>
      </c>
    </row>
  </sheetData>
  <mergeCells count="6">
    <mergeCell ref="B1:I1"/>
    <mergeCell ref="J1:Q1"/>
    <mergeCell ref="R1:Y1"/>
    <mergeCell ref="Z1:AG1"/>
    <mergeCell ref="AH1:AO1"/>
    <mergeCell ref="AP1:A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 Corduneanu</dc:creator>
  <cp:lastModifiedBy>Mia Corduneanu</cp:lastModifiedBy>
  <dcterms:created xsi:type="dcterms:W3CDTF">2026-01-26T21:58:33Z</dcterms:created>
  <dcterms:modified xsi:type="dcterms:W3CDTF">2026-01-26T22:02:29Z</dcterms:modified>
</cp:coreProperties>
</file>